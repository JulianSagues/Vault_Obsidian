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81c81c830e246c0e/Escritorio/Facultad/Obsidian/Vault_Obsidian/Materias/4to/Investigacion operativa/Material/"/>
    </mc:Choice>
  </mc:AlternateContent>
  <xr:revisionPtr revIDLastSave="34" documentId="13_ncr:8000000b_{98C0940C-457F-4AA0-B8E5-18007E51AF45}" xr6:coauthVersionLast="47" xr6:coauthVersionMax="47" xr10:uidLastSave="{FD768485-8C43-4D18-89C0-8047CB499371}"/>
  <bookViews>
    <workbookView xWindow="14295" yWindow="0" windowWidth="14610" windowHeight="15585" firstSheet="32" activeTab="36" xr2:uid="{A43AA329-DB2E-4710-B187-C60C5E009D8A}"/>
  </bookViews>
  <sheets>
    <sheet name="1" sheetId="1" r:id="rId1"/>
    <sheet name="Informe de límites 1" sheetId="39" r:id="rId2"/>
    <sheet name="Informe de respuestas 1" sheetId="38" r:id="rId3"/>
    <sheet name="Informe de sensibilidad 1" sheetId="29" r:id="rId4"/>
    <sheet name="2" sheetId="2" r:id="rId5"/>
    <sheet name="Informe de límites 2" sheetId="41" r:id="rId6"/>
    <sheet name="Informe de respuestas 2" sheetId="40" r:id="rId7"/>
    <sheet name="Informe de sensibilidad 2" sheetId="30" r:id="rId8"/>
    <sheet name="3" sheetId="3" r:id="rId9"/>
    <sheet name="Informe de límites 3" sheetId="43" r:id="rId10"/>
    <sheet name="Informe de respuestas 3" sheetId="42" r:id="rId11"/>
    <sheet name="Informe de sensibilidad 3" sheetId="31" r:id="rId12"/>
    <sheet name="4" sheetId="4" r:id="rId13"/>
    <sheet name="Informe de límites 4" sheetId="45" r:id="rId14"/>
    <sheet name="Informe de respuestas 4" sheetId="44" r:id="rId15"/>
    <sheet name="Informe de sensibilidad 4" sheetId="32" r:id="rId16"/>
    <sheet name="5" sheetId="5" r:id="rId17"/>
    <sheet name="Informe de respuestas 5" sheetId="46" r:id="rId18"/>
    <sheet name="Informe de límites 5" sheetId="47" r:id="rId19"/>
    <sheet name="Informe de sensibilidad 5" sheetId="33" r:id="rId20"/>
    <sheet name="6" sheetId="6" r:id="rId21"/>
    <sheet name="Informe de límites 6" sheetId="49" r:id="rId22"/>
    <sheet name="Informe de respuestas 6" sheetId="48" r:id="rId23"/>
    <sheet name="Informe de sensibilidad 6" sheetId="25" r:id="rId24"/>
    <sheet name="7" sheetId="7" r:id="rId25"/>
    <sheet name="Informe de límites 7" sheetId="51" r:id="rId26"/>
    <sheet name="Informe de respuestas 7" sheetId="50" r:id="rId27"/>
    <sheet name="Informe de sensibilidad 7" sheetId="26" r:id="rId28"/>
    <sheet name="8" sheetId="8" r:id="rId29"/>
    <sheet name="Informe de límites 8" sheetId="53" r:id="rId30"/>
    <sheet name="Informe de respuestas 8" sheetId="52" r:id="rId31"/>
    <sheet name="Informe de sensibilidad 8" sheetId="28" r:id="rId32"/>
    <sheet name="Primal 1" sheetId="34" r:id="rId33"/>
    <sheet name="Dual 1" sheetId="36" r:id="rId34"/>
    <sheet name="Primal 2" sheetId="35" r:id="rId35"/>
    <sheet name="Dual 2" sheetId="37" r:id="rId36"/>
    <sheet name="Hoja2" sheetId="55" r:id="rId37"/>
    <sheet name="Hoja3" sheetId="56" r:id="rId38"/>
  </sheets>
  <definedNames>
    <definedName name="solver_acr" localSheetId="16">0</definedName>
    <definedName name="solver_acr" localSheetId="20">0</definedName>
    <definedName name="solver_acr" localSheetId="28">0</definedName>
    <definedName name="solver_adj" localSheetId="0" hidden="1">'1'!$B$5:$C$5</definedName>
    <definedName name="solver_adj" localSheetId="4" hidden="1">'2'!$B$3:$C$3</definedName>
    <definedName name="solver_adj" localSheetId="8" hidden="1">'3'!$B$3:$G$3</definedName>
    <definedName name="solver_adj" localSheetId="12" hidden="1">'4'!$B$4:$E$4</definedName>
    <definedName name="solver_adj" localSheetId="16" hidden="1">'5'!$B$4:$D$4</definedName>
    <definedName name="solver_adj" localSheetId="20" hidden="1">'6'!$B$4:$D$4</definedName>
    <definedName name="solver_adj" localSheetId="24" hidden="1">'7'!$B$4:$E$4</definedName>
    <definedName name="solver_adj" localSheetId="28" hidden="1">'8'!$B$4:$D$4</definedName>
    <definedName name="solver_adj" localSheetId="33" hidden="1">'Dual 1'!$B$4:$E$4</definedName>
    <definedName name="solver_adj" localSheetId="35" hidden="1">'Dual 2'!$B$4:$D$4</definedName>
    <definedName name="solver_adj" localSheetId="32" hidden="1">'Primal 1'!$B$4:$D$4</definedName>
    <definedName name="solver_adj" localSheetId="34" hidden="1">'Primal 2'!$B$4:$F$4</definedName>
    <definedName name="solver_adj_1" localSheetId="4">'2'!$B$3:$C$3</definedName>
    <definedName name="solver_adj_2" localSheetId="8">'3'!$B$3:$G$3</definedName>
    <definedName name="solver_adj_3" localSheetId="12">'4'!$B$4:$E$4</definedName>
    <definedName name="solver_asr" localSheetId="16">0.5</definedName>
    <definedName name="solver_asr" localSheetId="20">0.5</definedName>
    <definedName name="solver_asr" localSheetId="28">0.5</definedName>
    <definedName name="solver_bbd" localSheetId="16">1</definedName>
    <definedName name="solver_bbd" localSheetId="20">1</definedName>
    <definedName name="solver_bbd" localSheetId="28">1</definedName>
    <definedName name="solver_ccoeff" localSheetId="16">0.729</definedName>
    <definedName name="solver_ccoeff" localSheetId="20">0.729</definedName>
    <definedName name="solver_ccoeff" localSheetId="28">0.729</definedName>
    <definedName name="solver_cog" localSheetId="16">1.494</definedName>
    <definedName name="solver_cog" localSheetId="20">1.494</definedName>
    <definedName name="solver_cog" localSheetId="28">1.494</definedName>
    <definedName name="solver_crpb" localSheetId="16">0.9</definedName>
    <definedName name="solver_crpb" localSheetId="20">0.9</definedName>
    <definedName name="solver_crpb" localSheetId="28">0.9</definedName>
    <definedName name="solver_cvg" localSheetId="0" hidden="1">0.0001</definedName>
    <definedName name="solver_cvg" localSheetId="4" hidden="1">0.0001</definedName>
    <definedName name="solver_cvg" localSheetId="8" hidden="1">0.0001</definedName>
    <definedName name="solver_cvg" localSheetId="12" hidden="1">0.0001</definedName>
    <definedName name="solver_cvg" localSheetId="16" hidden="1">0.0001</definedName>
    <definedName name="solver_cvg" localSheetId="20" hidden="1">0.0001</definedName>
    <definedName name="solver_cvg" localSheetId="24" hidden="1">0.0001</definedName>
    <definedName name="solver_cvg" localSheetId="28" hidden="1">0.0001</definedName>
    <definedName name="solver_cvg" localSheetId="33" hidden="1">0.0001</definedName>
    <definedName name="solver_cvg" localSheetId="35" hidden="1">0.0001</definedName>
    <definedName name="solver_cvg" localSheetId="32" hidden="1">0.0001</definedName>
    <definedName name="solver_cvg" localSheetId="34" hidden="1">0.0001</definedName>
    <definedName name="solver_drv" localSheetId="0" hidden="1">1</definedName>
    <definedName name="solver_drv" localSheetId="4" hidden="1">1</definedName>
    <definedName name="solver_drv" localSheetId="8" hidden="1">1</definedName>
    <definedName name="solver_drv" localSheetId="12" hidden="1">1</definedName>
    <definedName name="solver_drv" localSheetId="16" hidden="1">1</definedName>
    <definedName name="solver_drv" localSheetId="20" hidden="1">2</definedName>
    <definedName name="solver_drv" localSheetId="24" hidden="1">1</definedName>
    <definedName name="solver_drv" localSheetId="28" hidden="1">2</definedName>
    <definedName name="solver_drv" localSheetId="33" hidden="1">1</definedName>
    <definedName name="solver_drv" localSheetId="35" hidden="1">1</definedName>
    <definedName name="solver_drv" localSheetId="32" hidden="1">1</definedName>
    <definedName name="solver_drv" localSheetId="34" hidden="1">1</definedName>
    <definedName name="solver_eng" localSheetId="0" hidden="1">2</definedName>
    <definedName name="solver_eng" localSheetId="4" hidden="1">2</definedName>
    <definedName name="solver_eng" localSheetId="8" hidden="1">2</definedName>
    <definedName name="solver_eng" localSheetId="12" hidden="1">2</definedName>
    <definedName name="solver_eng" localSheetId="16" hidden="1">2</definedName>
    <definedName name="solver_eng" localSheetId="20" hidden="1">2</definedName>
    <definedName name="solver_eng" localSheetId="24" hidden="1">2</definedName>
    <definedName name="solver_eng" localSheetId="28" hidden="1">2</definedName>
    <definedName name="solver_eng" localSheetId="33" hidden="1">2</definedName>
    <definedName name="solver_eng" localSheetId="35" hidden="1">2</definedName>
    <definedName name="solver_eng" localSheetId="32" hidden="1">2</definedName>
    <definedName name="solver_eng" localSheetId="34" hidden="1">2</definedName>
    <definedName name="solver_eng_1" localSheetId="4">2</definedName>
    <definedName name="solver_eng_2" localSheetId="8">2</definedName>
    <definedName name="solver_eng_3" localSheetId="12">2</definedName>
    <definedName name="solver_enst" localSheetId="16">1</definedName>
    <definedName name="solver_enst" localSheetId="20">1</definedName>
    <definedName name="solver_enst" localSheetId="28">1</definedName>
    <definedName name="solver_eps" localSheetId="16">0</definedName>
    <definedName name="solver_eps" localSheetId="20">0</definedName>
    <definedName name="solver_eps" localSheetId="28">0</definedName>
    <definedName name="solver_est" localSheetId="0" hidden="1">1</definedName>
    <definedName name="solver_est" localSheetId="4" hidden="1">1</definedName>
    <definedName name="solver_est" localSheetId="8" hidden="1">1</definedName>
    <definedName name="solver_est" localSheetId="12" hidden="1">1</definedName>
    <definedName name="solver_est" localSheetId="16" hidden="1">1</definedName>
    <definedName name="solver_est" localSheetId="20" hidden="1">1</definedName>
    <definedName name="solver_est" localSheetId="24" hidden="1">1</definedName>
    <definedName name="solver_est" localSheetId="28" hidden="1">1</definedName>
    <definedName name="solver_est" localSheetId="33" hidden="1">1</definedName>
    <definedName name="solver_est" localSheetId="35" hidden="1">1</definedName>
    <definedName name="solver_est" localSheetId="32" hidden="1">1</definedName>
    <definedName name="solver_est" localSheetId="34" hidden="1">1</definedName>
    <definedName name="solver_est_1" localSheetId="4">1</definedName>
    <definedName name="solver_est_2" localSheetId="8">1</definedName>
    <definedName name="solver_est_3" localSheetId="12">1</definedName>
    <definedName name="solver_gvr" localSheetId="16">1</definedName>
    <definedName name="solver_gvr" localSheetId="20">1</definedName>
    <definedName name="solver_gvr" localSheetId="28">1</definedName>
    <definedName name="solver_int" localSheetId="16">0</definedName>
    <definedName name="solver_int" localSheetId="20">0</definedName>
    <definedName name="solver_int" localSheetId="28">0</definedName>
    <definedName name="solver_itr" localSheetId="0" hidden="1">2147483647</definedName>
    <definedName name="solver_itr" localSheetId="4" hidden="1">2147483647</definedName>
    <definedName name="solver_itr" localSheetId="8" hidden="1">2147483647</definedName>
    <definedName name="solver_itr" localSheetId="12" hidden="1">2147483647</definedName>
    <definedName name="solver_itr" localSheetId="16" hidden="1">2147483647</definedName>
    <definedName name="solver_itr" localSheetId="20" hidden="1">2147483647</definedName>
    <definedName name="solver_itr" localSheetId="24" hidden="1">2147483647</definedName>
    <definedName name="solver_itr" localSheetId="28" hidden="1">2147483647</definedName>
    <definedName name="solver_itr" localSheetId="33" hidden="1">2147483647</definedName>
    <definedName name="solver_itr" localSheetId="35" hidden="1">2147483647</definedName>
    <definedName name="solver_itr" localSheetId="32" hidden="1">2147483647</definedName>
    <definedName name="solver_itr" localSheetId="34" hidden="1">2147483647</definedName>
    <definedName name="solver_itr_1" localSheetId="4">2147483647</definedName>
    <definedName name="solver_itr_2" localSheetId="8">2147483647</definedName>
    <definedName name="solver_itr_3" localSheetId="12">2147483647</definedName>
    <definedName name="solver_lbsz" localSheetId="16">210</definedName>
    <definedName name="solver_lbsz" localSheetId="20">210</definedName>
    <definedName name="solver_lbsz" localSheetId="28">210</definedName>
    <definedName name="solver_lcy" localSheetId="16">2000</definedName>
    <definedName name="solver_lcy" localSheetId="20">2000</definedName>
    <definedName name="solver_lcy" localSheetId="28">2000</definedName>
    <definedName name="solver_lhs1" localSheetId="0" hidden="1">'1'!$D$9</definedName>
    <definedName name="solver_lhs1" localSheetId="4" hidden="1">'2'!$D$9</definedName>
    <definedName name="solver_lhs1" localSheetId="8" hidden="1">'3'!$H$7</definedName>
    <definedName name="solver_lhs1" localSheetId="12" hidden="1">'4'!$F$12</definedName>
    <definedName name="solver_lhs1" localSheetId="16" hidden="1">'5'!$E$9</definedName>
    <definedName name="solver_lhs1" localSheetId="20" hidden="1">'6'!$E$7</definedName>
    <definedName name="solver_lhs1" localSheetId="24" hidden="1">'7'!$F$10</definedName>
    <definedName name="solver_lhs1" localSheetId="28" hidden="1">'8'!$E$10</definedName>
    <definedName name="solver_lhs1" localSheetId="33" hidden="1">'Dual 1'!$F$10</definedName>
    <definedName name="solver_lhs1" localSheetId="35" hidden="1">'Dual 2'!$E$10</definedName>
    <definedName name="solver_lhs1" localSheetId="32" hidden="1">'Primal 1'!$E$10</definedName>
    <definedName name="solver_lhs1" localSheetId="34" hidden="1">'Primal 2'!$G$10</definedName>
    <definedName name="solver_lhs1_1" localSheetId="4">'2'!$D$7</definedName>
    <definedName name="solver_lhs1_2" localSheetId="8">'3'!$H$7</definedName>
    <definedName name="solver_lhs1_3" localSheetId="12">'4'!$F$8</definedName>
    <definedName name="solver_lhs10" localSheetId="24" hidden="1">'7'!$F$9</definedName>
    <definedName name="solver_lhs2" localSheetId="0" hidden="1">'1'!$D$10</definedName>
    <definedName name="solver_lhs2" localSheetId="4" hidden="1">'2'!$D$7</definedName>
    <definedName name="solver_lhs2" localSheetId="8" hidden="1">'3'!$H$8</definedName>
    <definedName name="solver_lhs2" localSheetId="12" hidden="1">'4'!$F$13</definedName>
    <definedName name="solver_lhs2" localSheetId="16" hidden="1">'5'!$E$10</definedName>
    <definedName name="solver_lhs2" localSheetId="20" hidden="1">'6'!$E$8</definedName>
    <definedName name="solver_lhs2" localSheetId="24" hidden="1">'7'!$F$11</definedName>
    <definedName name="solver_lhs2" localSheetId="28" hidden="1">'8'!$E$11</definedName>
    <definedName name="solver_lhs2" localSheetId="33" hidden="1">'Dual 1'!$F$8</definedName>
    <definedName name="solver_lhs2" localSheetId="35" hidden="1">'Dual 2'!$E$11</definedName>
    <definedName name="solver_lhs2" localSheetId="32" hidden="1">'Primal 1'!$E$11</definedName>
    <definedName name="solver_lhs2" localSheetId="34" hidden="1">'Primal 2'!$G$8</definedName>
    <definedName name="solver_lhs2_1" localSheetId="4">'2'!$D$8</definedName>
    <definedName name="solver_lhs2_2" localSheetId="8">'3'!$H$8</definedName>
    <definedName name="solver_lhs2_3" localSheetId="12">'4'!$F$9</definedName>
    <definedName name="solver_lhs3" localSheetId="4" hidden="1">'2'!$D$8</definedName>
    <definedName name="solver_lhs3" localSheetId="8" hidden="1">'3'!$H$9</definedName>
    <definedName name="solver_lhs3" localSheetId="12" hidden="1">'4'!$F$11</definedName>
    <definedName name="solver_lhs3" localSheetId="16" hidden="1">'5'!$E$11</definedName>
    <definedName name="solver_lhs3" localSheetId="20" hidden="1">'6'!$E$9</definedName>
    <definedName name="solver_lhs3" localSheetId="24" hidden="1">'7'!$F$12</definedName>
    <definedName name="solver_lhs3" localSheetId="28" hidden="1">'8'!$E$12</definedName>
    <definedName name="solver_lhs3" localSheetId="33" hidden="1">'Dual 1'!$F$9</definedName>
    <definedName name="solver_lhs3" localSheetId="35" hidden="1">'Dual 2'!$E$12</definedName>
    <definedName name="solver_lhs3" localSheetId="32" hidden="1">'Primal 1'!$E$8</definedName>
    <definedName name="solver_lhs3" localSheetId="34" hidden="1">'Primal 2'!$G$9</definedName>
    <definedName name="solver_lhs3_1" localSheetId="8">'3'!$H$9</definedName>
    <definedName name="solver_lhs3_2" localSheetId="12">'4'!$F$10</definedName>
    <definedName name="solver_lhs4" localSheetId="12" hidden="1">'4'!$F$8</definedName>
    <definedName name="solver_lhs4" localSheetId="24" hidden="1">'7'!$F$13</definedName>
    <definedName name="solver_lhs4" localSheetId="28" hidden="1">'8'!$E$13</definedName>
    <definedName name="solver_lhs4" localSheetId="35" hidden="1">'Dual 2'!$E$8</definedName>
    <definedName name="solver_lhs4" localSheetId="32" hidden="1">'Primal 1'!$E$9</definedName>
    <definedName name="solver_lhs5" localSheetId="12" hidden="1">'4'!$F$10</definedName>
    <definedName name="solver_lhs5" localSheetId="24" hidden="1">'7'!$F$14</definedName>
    <definedName name="solver_lhs5" localSheetId="28" hidden="1">'8'!$E$8</definedName>
    <definedName name="solver_lhs5" localSheetId="35" hidden="1">'Dual 2'!$E$9</definedName>
    <definedName name="solver_lhs6" localSheetId="12" hidden="1">'4'!$F$9</definedName>
    <definedName name="solver_lhs6" localSheetId="24" hidden="1">'7'!$F$15</definedName>
    <definedName name="solver_lhs6" localSheetId="28" hidden="1">'8'!$E$9</definedName>
    <definedName name="solver_lhs7" localSheetId="12">'4'!$B$4</definedName>
    <definedName name="solver_lhs7" localSheetId="24" hidden="1">'7'!$F$16</definedName>
    <definedName name="solver_lhs8" localSheetId="24" hidden="1">'7'!$F$17</definedName>
    <definedName name="solver_lhs9" localSheetId="24" hidden="1">'7'!$F$18</definedName>
    <definedName name="solver_lin" localSheetId="0" hidden="1">1</definedName>
    <definedName name="solver_lin" localSheetId="4" hidden="1">1</definedName>
    <definedName name="solver_lin" localSheetId="8" hidden="1">1</definedName>
    <definedName name="solver_lin" localSheetId="12" hidden="1">1</definedName>
    <definedName name="solver_lin" localSheetId="16" hidden="1">1</definedName>
    <definedName name="solver_lo_eng" localSheetId="16">"com.sun.star.comp.Calc.CoinMPSolver"</definedName>
    <definedName name="solver_lo_eng" localSheetId="20">"com.sun.star.comp.Calc.CoinMPSolver"</definedName>
    <definedName name="solver_lo_eng" localSheetId="28">"com.sun.star.comp.Calc.CoinMPSolver"</definedName>
    <definedName name="solver_mip" localSheetId="0" hidden="1">2147483647</definedName>
    <definedName name="solver_mip" localSheetId="4" hidden="1">2147483647</definedName>
    <definedName name="solver_mip" localSheetId="8" hidden="1">2147483647</definedName>
    <definedName name="solver_mip" localSheetId="12" hidden="1">2147483647</definedName>
    <definedName name="solver_mip" localSheetId="16" hidden="1">2147483647</definedName>
    <definedName name="solver_mip" localSheetId="20" hidden="1">2147483647</definedName>
    <definedName name="solver_mip" localSheetId="24" hidden="1">2147483647</definedName>
    <definedName name="solver_mip" localSheetId="28" hidden="1">2147483647</definedName>
    <definedName name="solver_mip" localSheetId="33" hidden="1">2147483647</definedName>
    <definedName name="solver_mip" localSheetId="35" hidden="1">2147483647</definedName>
    <definedName name="solver_mip" localSheetId="32" hidden="1">2147483647</definedName>
    <definedName name="solver_mip" localSheetId="34" hidden="1">2147483647</definedName>
    <definedName name="solver_mni" localSheetId="0" hidden="1">30</definedName>
    <definedName name="solver_mni" localSheetId="4" hidden="1">30</definedName>
    <definedName name="solver_mni" localSheetId="8" hidden="1">30</definedName>
    <definedName name="solver_mni" localSheetId="12" hidden="1">30</definedName>
    <definedName name="solver_mni" localSheetId="16" hidden="1">30</definedName>
    <definedName name="solver_mni" localSheetId="20" hidden="1">30</definedName>
    <definedName name="solver_mni" localSheetId="24" hidden="1">30</definedName>
    <definedName name="solver_mni" localSheetId="28" hidden="1">30</definedName>
    <definedName name="solver_mni" localSheetId="33" hidden="1">30</definedName>
    <definedName name="solver_mni" localSheetId="35" hidden="1">30</definedName>
    <definedName name="solver_mni" localSheetId="32" hidden="1">30</definedName>
    <definedName name="solver_mni" localSheetId="34" hidden="1">30</definedName>
    <definedName name="solver_mrt" localSheetId="0" hidden="1">0.075</definedName>
    <definedName name="solver_mrt" localSheetId="4" hidden="1">0.075</definedName>
    <definedName name="solver_mrt" localSheetId="8" hidden="1">0.075</definedName>
    <definedName name="solver_mrt" localSheetId="12" hidden="1">0.075</definedName>
    <definedName name="solver_mrt" localSheetId="16" hidden="1">0.075</definedName>
    <definedName name="solver_mrt" localSheetId="20" hidden="1">0.075</definedName>
    <definedName name="solver_mrt" localSheetId="24" hidden="1">0.075</definedName>
    <definedName name="solver_mrt" localSheetId="28" hidden="1">0.075</definedName>
    <definedName name="solver_mrt" localSheetId="33" hidden="1">0.075</definedName>
    <definedName name="solver_mrt" localSheetId="35" hidden="1">0.075</definedName>
    <definedName name="solver_mrt" localSheetId="32" hidden="1">0.075</definedName>
    <definedName name="solver_mrt" localSheetId="34" hidden="1">0.075</definedName>
    <definedName name="solver_msl" localSheetId="0" hidden="1">2</definedName>
    <definedName name="solver_msl" localSheetId="4" hidden="1">2</definedName>
    <definedName name="solver_msl" localSheetId="8" hidden="1">2</definedName>
    <definedName name="solver_msl" localSheetId="12" hidden="1">2</definedName>
    <definedName name="solver_msl" localSheetId="16" hidden="1">2</definedName>
    <definedName name="solver_msl" localSheetId="20" hidden="1">2</definedName>
    <definedName name="solver_msl" localSheetId="24" hidden="1">2</definedName>
    <definedName name="solver_msl" localSheetId="28" hidden="1">2</definedName>
    <definedName name="solver_msl" localSheetId="33" hidden="1">2</definedName>
    <definedName name="solver_msl" localSheetId="35" hidden="1">2</definedName>
    <definedName name="solver_msl" localSheetId="32" hidden="1">2</definedName>
    <definedName name="solver_msl" localSheetId="34" hidden="1">2</definedName>
    <definedName name="solver_mtpb" localSheetId="16">0</definedName>
    <definedName name="solver_mtpb" localSheetId="20">0</definedName>
    <definedName name="solver_mtpb" localSheetId="28">0</definedName>
    <definedName name="solver_neg" localSheetId="0" hidden="1">1</definedName>
    <definedName name="solver_neg" localSheetId="4" hidden="1">1</definedName>
    <definedName name="solver_neg" localSheetId="8" hidden="1">1</definedName>
    <definedName name="solver_neg" localSheetId="12" hidden="1">1</definedName>
    <definedName name="solver_neg" localSheetId="16" hidden="1">1</definedName>
    <definedName name="solver_neg" localSheetId="20" hidden="1">2</definedName>
    <definedName name="solver_neg" localSheetId="24" hidden="1">1</definedName>
    <definedName name="solver_neg" localSheetId="28" hidden="1">1</definedName>
    <definedName name="solver_neg" localSheetId="33" hidden="1">1</definedName>
    <definedName name="solver_neg" localSheetId="35" hidden="1">1</definedName>
    <definedName name="solver_neg" localSheetId="32" hidden="1">1</definedName>
    <definedName name="solver_neg" localSheetId="34" hidden="1">1</definedName>
    <definedName name="solver_neg_1" localSheetId="4">1</definedName>
    <definedName name="solver_neg_2" localSheetId="8">1</definedName>
    <definedName name="solver_neg_3" localSheetId="12">1</definedName>
    <definedName name="solver_nod" localSheetId="0" hidden="1">2147483647</definedName>
    <definedName name="solver_nod" localSheetId="4" hidden="1">2147483647</definedName>
    <definedName name="solver_nod" localSheetId="8" hidden="1">2147483647</definedName>
    <definedName name="solver_nod" localSheetId="12" hidden="1">2147483647</definedName>
    <definedName name="solver_nod" localSheetId="16" hidden="1">2147483647</definedName>
    <definedName name="solver_nod" localSheetId="20" hidden="1">2147483647</definedName>
    <definedName name="solver_nod" localSheetId="24" hidden="1">2147483647</definedName>
    <definedName name="solver_nod" localSheetId="28" hidden="1">2147483647</definedName>
    <definedName name="solver_nod" localSheetId="33" hidden="1">2147483647</definedName>
    <definedName name="solver_nod" localSheetId="35" hidden="1">2147483647</definedName>
    <definedName name="solver_nod" localSheetId="32" hidden="1">2147483647</definedName>
    <definedName name="solver_nod" localSheetId="34" hidden="1">2147483647</definedName>
    <definedName name="solver_num" localSheetId="0" hidden="1">2</definedName>
    <definedName name="solver_num" localSheetId="4" hidden="1">3</definedName>
    <definedName name="solver_num" localSheetId="8" hidden="1">3</definedName>
    <definedName name="solver_num" localSheetId="12" hidden="1">6</definedName>
    <definedName name="solver_num" localSheetId="16" hidden="1">3</definedName>
    <definedName name="solver_num" localSheetId="20" hidden="1">3</definedName>
    <definedName name="solver_num" localSheetId="24" hidden="1">10</definedName>
    <definedName name="solver_num" localSheetId="28" hidden="1">6</definedName>
    <definedName name="solver_num" localSheetId="33" hidden="1">3</definedName>
    <definedName name="solver_num" localSheetId="35" hidden="1">5</definedName>
    <definedName name="solver_num" localSheetId="32" hidden="1">4</definedName>
    <definedName name="solver_num" localSheetId="34" hidden="1">3</definedName>
    <definedName name="solver_num_1" localSheetId="4">3</definedName>
    <definedName name="solver_num_2" localSheetId="8">3</definedName>
    <definedName name="solver_num_3" localSheetId="12">6</definedName>
    <definedName name="solver_nwt" localSheetId="0" hidden="1">1</definedName>
    <definedName name="solver_nwt" localSheetId="4" hidden="1">1</definedName>
    <definedName name="solver_nwt" localSheetId="8" hidden="1">1</definedName>
    <definedName name="solver_nwt" localSheetId="12" hidden="1">1</definedName>
    <definedName name="solver_nwt" localSheetId="16" hidden="1">1</definedName>
    <definedName name="solver_nwt" localSheetId="20" hidden="1">1</definedName>
    <definedName name="solver_nwt" localSheetId="24" hidden="1">1</definedName>
    <definedName name="solver_nwt" localSheetId="28" hidden="1">1</definedName>
    <definedName name="solver_nwt" localSheetId="33" hidden="1">1</definedName>
    <definedName name="solver_nwt" localSheetId="35" hidden="1">1</definedName>
    <definedName name="solver_nwt" localSheetId="32" hidden="1">1</definedName>
    <definedName name="solver_nwt" localSheetId="34" hidden="1">1</definedName>
    <definedName name="solver_nwt_1" localSheetId="4">1</definedName>
    <definedName name="solver_nwt_2" localSheetId="8">1</definedName>
    <definedName name="solver_nwt_3" localSheetId="12">1</definedName>
    <definedName name="solver_opt" localSheetId="0" hidden="1">'1'!$B$2</definedName>
    <definedName name="solver_opt" localSheetId="4" hidden="1">'2'!$B$1</definedName>
    <definedName name="solver_opt" localSheetId="8" hidden="1">'3'!$B$1</definedName>
    <definedName name="solver_opt" localSheetId="12" hidden="1">'4'!$B$1</definedName>
    <definedName name="solver_opt" localSheetId="16" hidden="1">'5'!$B$1</definedName>
    <definedName name="solver_opt" localSheetId="20" hidden="1">'6'!$B$1</definedName>
    <definedName name="solver_opt" localSheetId="24" hidden="1">'7'!$B$1</definedName>
    <definedName name="solver_opt" localSheetId="28" hidden="1">'8'!$B$1</definedName>
    <definedName name="solver_opt" localSheetId="33" hidden="1">'Dual 1'!$B$1</definedName>
    <definedName name="solver_opt" localSheetId="35" hidden="1">'Dual 2'!$B$1</definedName>
    <definedName name="solver_opt" localSheetId="32" hidden="1">'Primal 1'!$B$1</definedName>
    <definedName name="solver_opt" localSheetId="34" hidden="1">'Primal 2'!$B$1</definedName>
    <definedName name="solver_opt_1" localSheetId="4">'2'!$B$1</definedName>
    <definedName name="solver_opt_2" localSheetId="8">'3'!$B$1</definedName>
    <definedName name="solver_opt_3" localSheetId="12">'4'!$B$1</definedName>
    <definedName name="solver_pre" localSheetId="0" hidden="1">0</definedName>
    <definedName name="solver_pre" localSheetId="4" hidden="1">0.000001</definedName>
    <definedName name="solver_pre" localSheetId="8" hidden="1">0.000001</definedName>
    <definedName name="solver_pre" localSheetId="12" hidden="1">0.000001</definedName>
    <definedName name="solver_pre" localSheetId="16" hidden="1">0.01</definedName>
    <definedName name="solver_pre" localSheetId="20" hidden="1">0.000001</definedName>
    <definedName name="solver_pre" localSheetId="24" hidden="1">0.000001</definedName>
    <definedName name="solver_pre" localSheetId="28" hidden="1">0.000001</definedName>
    <definedName name="solver_pre" localSheetId="33" hidden="1">0.000001</definedName>
    <definedName name="solver_pre" localSheetId="35" hidden="1">0.000001</definedName>
    <definedName name="solver_pre" localSheetId="32" hidden="1">0.000001</definedName>
    <definedName name="solver_pre" localSheetId="34" hidden="1">0.000001</definedName>
    <definedName name="solver_pre_1" localSheetId="4">0</definedName>
    <definedName name="solver_pre_2" localSheetId="8">0</definedName>
    <definedName name="solver_pre_3" localSheetId="12">0.000001</definedName>
    <definedName name="solver_prng" localSheetId="16">0</definedName>
    <definedName name="solver_prng" localSheetId="20">0</definedName>
    <definedName name="solver_prng" localSheetId="28">0</definedName>
    <definedName name="solver_rbv" localSheetId="0" hidden="1">1</definedName>
    <definedName name="solver_rbv" localSheetId="4" hidden="1">1</definedName>
    <definedName name="solver_rbv" localSheetId="8" hidden="1">1</definedName>
    <definedName name="solver_rbv" localSheetId="12" hidden="1">1</definedName>
    <definedName name="solver_rbv" localSheetId="16" hidden="1">1</definedName>
    <definedName name="solver_rbv" localSheetId="20" hidden="1">2</definedName>
    <definedName name="solver_rbv" localSheetId="24" hidden="1">1</definedName>
    <definedName name="solver_rbv" localSheetId="28" hidden="1">2</definedName>
    <definedName name="solver_rbv" localSheetId="33" hidden="1">1</definedName>
    <definedName name="solver_rbv" localSheetId="35" hidden="1">1</definedName>
    <definedName name="solver_rbv" localSheetId="32" hidden="1">1</definedName>
    <definedName name="solver_rbv" localSheetId="34" hidden="1">1</definedName>
    <definedName name="solver_rel1" localSheetId="0" hidden="1">1</definedName>
    <definedName name="solver_rel1" localSheetId="4" hidden="1">1</definedName>
    <definedName name="solver_rel1" localSheetId="8" hidden="1">3</definedName>
    <definedName name="solver_rel1" localSheetId="12" hidden="1">3</definedName>
    <definedName name="solver_rel1" localSheetId="16" hidden="1">3</definedName>
    <definedName name="solver_rel1" localSheetId="20" hidden="1">1</definedName>
    <definedName name="solver_rel1" localSheetId="24" hidden="1">1</definedName>
    <definedName name="solver_rel1" localSheetId="28" hidden="1">1</definedName>
    <definedName name="solver_rel1" localSheetId="33" hidden="1">1</definedName>
    <definedName name="solver_rel1" localSheetId="35" hidden="1">1</definedName>
    <definedName name="solver_rel1" localSheetId="32" hidden="1">3</definedName>
    <definedName name="solver_rel1" localSheetId="34" hidden="1">1</definedName>
    <definedName name="solver_rel1_1" localSheetId="4">1</definedName>
    <definedName name="solver_rel1_2" localSheetId="8">3</definedName>
    <definedName name="solver_rel1_3" localSheetId="12">1</definedName>
    <definedName name="solver_rel10" localSheetId="24" hidden="1">1</definedName>
    <definedName name="solver_rel2" localSheetId="0" hidden="1">2</definedName>
    <definedName name="solver_rel2" localSheetId="4" hidden="1">1</definedName>
    <definedName name="solver_rel2" localSheetId="8" hidden="1">3</definedName>
    <definedName name="solver_rel2" localSheetId="12" hidden="1">3</definedName>
    <definedName name="solver_rel2" localSheetId="16" hidden="1">3</definedName>
    <definedName name="solver_rel2" localSheetId="20" hidden="1">1</definedName>
    <definedName name="solver_rel2" localSheetId="24" hidden="1">1</definedName>
    <definedName name="solver_rel2" localSheetId="28" hidden="1">1</definedName>
    <definedName name="solver_rel2" localSheetId="33" hidden="1">1</definedName>
    <definedName name="solver_rel2" localSheetId="35" hidden="1">1</definedName>
    <definedName name="solver_rel2" localSheetId="32" hidden="1">3</definedName>
    <definedName name="solver_rel2" localSheetId="34" hidden="1">3</definedName>
    <definedName name="solver_rel2_1" localSheetId="4">1</definedName>
    <definedName name="solver_rel2_2" localSheetId="8">3</definedName>
    <definedName name="solver_rel2_3" localSheetId="12">1</definedName>
    <definedName name="solver_rel3" localSheetId="4" hidden="1">1</definedName>
    <definedName name="solver_rel3" localSheetId="8" hidden="1">3</definedName>
    <definedName name="solver_rel3" localSheetId="12" hidden="1">1</definedName>
    <definedName name="solver_rel3" localSheetId="16" hidden="1">1</definedName>
    <definedName name="solver_rel3" localSheetId="20" hidden="1">1</definedName>
    <definedName name="solver_rel3" localSheetId="24" hidden="1">1</definedName>
    <definedName name="solver_rel3" localSheetId="28" hidden="1">1</definedName>
    <definedName name="solver_rel3" localSheetId="33" hidden="1">1</definedName>
    <definedName name="solver_rel3" localSheetId="35" hidden="1">1</definedName>
    <definedName name="solver_rel3" localSheetId="32" hidden="1">3</definedName>
    <definedName name="solver_rel3" localSheetId="34" hidden="1">3</definedName>
    <definedName name="solver_rel3_1" localSheetId="8">3</definedName>
    <definedName name="solver_rel3_2" localSheetId="12">1</definedName>
    <definedName name="solver_rel4" localSheetId="12" hidden="1">1</definedName>
    <definedName name="solver_rel4" localSheetId="24" hidden="1">3</definedName>
    <definedName name="solver_rel4" localSheetId="28" hidden="1">3</definedName>
    <definedName name="solver_rel4" localSheetId="35" hidden="1">1</definedName>
    <definedName name="solver_rel4" localSheetId="32" hidden="1">3</definedName>
    <definedName name="solver_rel5" localSheetId="12" hidden="1">1</definedName>
    <definedName name="solver_rel5" localSheetId="24" hidden="1">3</definedName>
    <definedName name="solver_rel5" localSheetId="28" hidden="1">1</definedName>
    <definedName name="solver_rel5" localSheetId="35" hidden="1">1</definedName>
    <definedName name="solver_rel6" localSheetId="12" hidden="1">1</definedName>
    <definedName name="solver_rel6" localSheetId="24" hidden="1">1</definedName>
    <definedName name="solver_rel6" localSheetId="28" hidden="1">1</definedName>
    <definedName name="solver_rel7" localSheetId="12">3</definedName>
    <definedName name="solver_rel7" localSheetId="24" hidden="1">1</definedName>
    <definedName name="solver_rel8" localSheetId="24" hidden="1">3</definedName>
    <definedName name="solver_rel9" localSheetId="24" hidden="1">3</definedName>
    <definedName name="solver_rhs1" localSheetId="0" hidden="1">'1'!$F$9</definedName>
    <definedName name="solver_rhs1" localSheetId="4" hidden="1">'2'!$F$9</definedName>
    <definedName name="solver_rhs1" localSheetId="8" hidden="1">'3'!$J$7</definedName>
    <definedName name="solver_rhs1" localSheetId="12" hidden="1">'4'!$H$12</definedName>
    <definedName name="solver_rhs1" localSheetId="16" hidden="1">'5'!$G$9</definedName>
    <definedName name="solver_rhs1" localSheetId="20" hidden="1">'6'!$G$7</definedName>
    <definedName name="solver_rhs1" localSheetId="24" hidden="1">'7'!$H$10</definedName>
    <definedName name="solver_rhs1" localSheetId="28" hidden="1">'8'!$G$10</definedName>
    <definedName name="solver_rhs1" localSheetId="33" hidden="1">'Dual 1'!$H$10</definedName>
    <definedName name="solver_rhs1" localSheetId="35" hidden="1">'Dual 2'!$G$10</definedName>
    <definedName name="solver_rhs1" localSheetId="32" hidden="1">'Primal 1'!$G$10</definedName>
    <definedName name="solver_rhs1" localSheetId="34" hidden="1">'Primal 2'!$I$10</definedName>
    <definedName name="solver_rhs1_1" localSheetId="4">'2'!$F$7</definedName>
    <definedName name="solver_rhs1_2" localSheetId="8">'3'!$J$7</definedName>
    <definedName name="solver_rhs1_3" localSheetId="12">'4'!$H$8</definedName>
    <definedName name="solver_rhs10" localSheetId="24" hidden="1">'7'!$H$9</definedName>
    <definedName name="solver_rhs2" localSheetId="0" hidden="1">'1'!$F$10</definedName>
    <definedName name="solver_rhs2" localSheetId="4" hidden="1">'2'!$F$7</definedName>
    <definedName name="solver_rhs2" localSheetId="8" hidden="1">'3'!$J$8</definedName>
    <definedName name="solver_rhs2" localSheetId="12" hidden="1">'4'!$H$13</definedName>
    <definedName name="solver_rhs2" localSheetId="16" hidden="1">'5'!$G$10</definedName>
    <definedName name="solver_rhs2" localSheetId="20" hidden="1">'6'!$G$8</definedName>
    <definedName name="solver_rhs2" localSheetId="24" hidden="1">'7'!$H$11</definedName>
    <definedName name="solver_rhs2" localSheetId="28" hidden="1">'8'!$G$11</definedName>
    <definedName name="solver_rhs2" localSheetId="33" hidden="1">'Dual 1'!$H$8</definedName>
    <definedName name="solver_rhs2" localSheetId="35" hidden="1">'Dual 2'!$G$11</definedName>
    <definedName name="solver_rhs2" localSheetId="32" hidden="1">'Primal 1'!$G$11</definedName>
    <definedName name="solver_rhs2" localSheetId="34" hidden="1">'Primal 2'!$I$8</definedName>
    <definedName name="solver_rhs2_1" localSheetId="4">'2'!$F$8</definedName>
    <definedName name="solver_rhs2_2" localSheetId="8">'3'!$J$8</definedName>
    <definedName name="solver_rhs2_3" localSheetId="12">'4'!$H$9</definedName>
    <definedName name="solver_rhs3" localSheetId="4" hidden="1">'2'!$F$8</definedName>
    <definedName name="solver_rhs3" localSheetId="8" hidden="1">'3'!$J$9</definedName>
    <definedName name="solver_rhs3" localSheetId="12" hidden="1">'4'!$H$11</definedName>
    <definedName name="solver_rhs3" localSheetId="16" hidden="1">'5'!$G$11</definedName>
    <definedName name="solver_rhs3" localSheetId="20" hidden="1">'6'!$G$9</definedName>
    <definedName name="solver_rhs3" localSheetId="24" hidden="1">'7'!$H$12</definedName>
    <definedName name="solver_rhs3" localSheetId="28" hidden="1">'8'!$G$12</definedName>
    <definedName name="solver_rhs3" localSheetId="33" hidden="1">'Dual 1'!$H$9</definedName>
    <definedName name="solver_rhs3" localSheetId="35" hidden="1">'Dual 2'!$G$12</definedName>
    <definedName name="solver_rhs3" localSheetId="32" hidden="1">'Primal 1'!$G$8</definedName>
    <definedName name="solver_rhs3" localSheetId="34" hidden="1">'Primal 2'!$I$9</definedName>
    <definedName name="solver_rhs3_1" localSheetId="8">'3'!$J$9</definedName>
    <definedName name="solver_rhs3_2" localSheetId="12">'4'!$H$10</definedName>
    <definedName name="solver_rhs4" localSheetId="12" hidden="1">'4'!$H$8</definedName>
    <definedName name="solver_rhs4" localSheetId="24" hidden="1">'7'!$H$13</definedName>
    <definedName name="solver_rhs4" localSheetId="28" hidden="1">'8'!$G$13</definedName>
    <definedName name="solver_rhs4" localSheetId="35" hidden="1">'Dual 2'!$G$8</definedName>
    <definedName name="solver_rhs4" localSheetId="32" hidden="1">'Primal 1'!$G$9</definedName>
    <definedName name="solver_rhs5" localSheetId="12" hidden="1">'4'!$H$10</definedName>
    <definedName name="solver_rhs5" localSheetId="24" hidden="1">'7'!$H$14</definedName>
    <definedName name="solver_rhs5" localSheetId="28" hidden="1">'8'!$G$8</definedName>
    <definedName name="solver_rhs5" localSheetId="35" hidden="1">'Dual 2'!$G$9</definedName>
    <definedName name="solver_rhs6" localSheetId="12" hidden="1">'4'!$H$9</definedName>
    <definedName name="solver_rhs6" localSheetId="24" hidden="1">'7'!$H$15</definedName>
    <definedName name="solver_rhs6" localSheetId="28" hidden="1">'8'!$G$9</definedName>
    <definedName name="solver_rhs7" localSheetId="12">'4'!$E$10</definedName>
    <definedName name="solver_rhs7" localSheetId="24" hidden="1">'7'!$H$16</definedName>
    <definedName name="solver_rhs8" localSheetId="24" hidden="1">'7'!$H$17</definedName>
    <definedName name="solver_rhs9" localSheetId="24" hidden="1">'7'!$H$18</definedName>
    <definedName name="solver_rlx" localSheetId="0" hidden="1">2</definedName>
    <definedName name="solver_rlx" localSheetId="4" hidden="1">2</definedName>
    <definedName name="solver_rlx" localSheetId="8" hidden="1">2</definedName>
    <definedName name="solver_rlx" localSheetId="12" hidden="1">2</definedName>
    <definedName name="solver_rlx" localSheetId="16" hidden="1">2</definedName>
    <definedName name="solver_rlx" localSheetId="20" hidden="1">2</definedName>
    <definedName name="solver_rlx" localSheetId="24" hidden="1">2</definedName>
    <definedName name="solver_rlx" localSheetId="28" hidden="1">2</definedName>
    <definedName name="solver_rlx" localSheetId="33" hidden="1">2</definedName>
    <definedName name="solver_rlx" localSheetId="35" hidden="1">2</definedName>
    <definedName name="solver_rlx" localSheetId="32" hidden="1">2</definedName>
    <definedName name="solver_rlx" localSheetId="34" hidden="1">2</definedName>
    <definedName name="solver_rsd" localSheetId="0" hidden="1">0</definedName>
    <definedName name="solver_rsd" localSheetId="4" hidden="1">0</definedName>
    <definedName name="solver_rsd" localSheetId="8" hidden="1">0</definedName>
    <definedName name="solver_rsd" localSheetId="12" hidden="1">0</definedName>
    <definedName name="solver_rsd" localSheetId="16" hidden="1">0</definedName>
    <definedName name="solver_rsd" localSheetId="20" hidden="1">0</definedName>
    <definedName name="solver_rsd" localSheetId="24" hidden="1">0</definedName>
    <definedName name="solver_rsd" localSheetId="28" hidden="1">0</definedName>
    <definedName name="solver_rsd" localSheetId="33" hidden="1">0</definedName>
    <definedName name="solver_rsd" localSheetId="35" hidden="1">0</definedName>
    <definedName name="solver_rsd" localSheetId="32" hidden="1">0</definedName>
    <definedName name="solver_rsd" localSheetId="34" hidden="1">0</definedName>
    <definedName name="solver_rsp" localSheetId="16">0</definedName>
    <definedName name="solver_rsp" localSheetId="20">0</definedName>
    <definedName name="solver_rsp" localSheetId="28">0</definedName>
    <definedName name="solver_scl" localSheetId="0" hidden="1">1</definedName>
    <definedName name="solver_scl" localSheetId="4" hidden="1">1</definedName>
    <definedName name="solver_scl" localSheetId="8" hidden="1">1</definedName>
    <definedName name="solver_scl" localSheetId="12" hidden="1">1</definedName>
    <definedName name="solver_scl" localSheetId="16" hidden="1">1</definedName>
    <definedName name="solver_scl" localSheetId="20" hidden="1">2</definedName>
    <definedName name="solver_scl" localSheetId="24" hidden="1">1</definedName>
    <definedName name="solver_scl" localSheetId="28" hidden="1">2</definedName>
    <definedName name="solver_scl" localSheetId="33" hidden="1">1</definedName>
    <definedName name="solver_scl" localSheetId="35" hidden="1">1</definedName>
    <definedName name="solver_scl" localSheetId="32" hidden="1">1</definedName>
    <definedName name="solver_scl" localSheetId="34" hidden="1">1</definedName>
    <definedName name="solver_scl_1" localSheetId="4">1</definedName>
    <definedName name="solver_scl_2" localSheetId="8">1</definedName>
    <definedName name="solver_scl_3" localSheetId="12">2</definedName>
    <definedName name="solver_sho" localSheetId="0" hidden="1">2</definedName>
    <definedName name="solver_sho" localSheetId="4" hidden="1">2</definedName>
    <definedName name="solver_sho" localSheetId="8" hidden="1">2</definedName>
    <definedName name="solver_sho" localSheetId="12" hidden="1">2</definedName>
    <definedName name="solver_sho" localSheetId="16" hidden="1">2</definedName>
    <definedName name="solver_sho" localSheetId="20" hidden="1">2</definedName>
    <definedName name="solver_sho" localSheetId="24" hidden="1">2</definedName>
    <definedName name="solver_sho" localSheetId="28" hidden="1">2</definedName>
    <definedName name="solver_sho" localSheetId="33" hidden="1">2</definedName>
    <definedName name="solver_sho" localSheetId="35" hidden="1">2</definedName>
    <definedName name="solver_sho" localSheetId="1" hidden="1">2</definedName>
    <definedName name="solver_sho" localSheetId="5" hidden="1">2</definedName>
    <definedName name="solver_sho" localSheetId="9" hidden="1">2</definedName>
    <definedName name="solver_sho" localSheetId="13" hidden="1">2</definedName>
    <definedName name="solver_sho" localSheetId="18" hidden="1">2</definedName>
    <definedName name="solver_sho" localSheetId="21" hidden="1">2</definedName>
    <definedName name="solver_sho" localSheetId="25" hidden="1">2</definedName>
    <definedName name="solver_sho" localSheetId="29" hidden="1">2</definedName>
    <definedName name="solver_sho" localSheetId="32" hidden="1">2</definedName>
    <definedName name="solver_sho" localSheetId="34" hidden="1">2</definedName>
    <definedName name="solver_slim" localSheetId="16">70</definedName>
    <definedName name="solver_slim" localSheetId="20">70</definedName>
    <definedName name="solver_slim" localSheetId="28">70</definedName>
    <definedName name="solver_smax" localSheetId="16">0.5</definedName>
    <definedName name="solver_smax" localSheetId="20">0.5</definedName>
    <definedName name="solver_smax" localSheetId="28">0.5</definedName>
    <definedName name="solver_smin" localSheetId="16">0.5</definedName>
    <definedName name="solver_smin" localSheetId="20">0.5</definedName>
    <definedName name="solver_smin" localSheetId="28">0.5</definedName>
    <definedName name="solver_soc" localSheetId="16">1.494</definedName>
    <definedName name="solver_soc" localSheetId="20">1.494</definedName>
    <definedName name="solver_soc" localSheetId="28">1.494</definedName>
    <definedName name="solver_ssz" localSheetId="0" hidden="1">100</definedName>
    <definedName name="solver_ssz" localSheetId="4" hidden="1">100</definedName>
    <definedName name="solver_ssz" localSheetId="8" hidden="1">100</definedName>
    <definedName name="solver_ssz" localSheetId="12" hidden="1">100</definedName>
    <definedName name="solver_ssz" localSheetId="16" hidden="1">100</definedName>
    <definedName name="solver_ssz" localSheetId="20" hidden="1">70</definedName>
    <definedName name="solver_ssz" localSheetId="24" hidden="1">100</definedName>
    <definedName name="solver_ssz" localSheetId="28" hidden="1">70</definedName>
    <definedName name="solver_ssz" localSheetId="33" hidden="1">100</definedName>
    <definedName name="solver_ssz" localSheetId="35" hidden="1">100</definedName>
    <definedName name="solver_ssz" localSheetId="32" hidden="1">100</definedName>
    <definedName name="solver_ssz" localSheetId="34" hidden="1">100</definedName>
    <definedName name="solver_stol" localSheetId="16">0.000001</definedName>
    <definedName name="solver_stol" localSheetId="20">0.000001</definedName>
    <definedName name="solver_stol" localSheetId="28">0.000001</definedName>
    <definedName name="solver_tim" localSheetId="0" hidden="1">2147483647</definedName>
    <definedName name="solver_tim" localSheetId="4" hidden="1">2147483647</definedName>
    <definedName name="solver_tim" localSheetId="8" hidden="1">2147483647</definedName>
    <definedName name="solver_tim" localSheetId="12" hidden="1">2147483647</definedName>
    <definedName name="solver_tim" localSheetId="16" hidden="1">2147483647</definedName>
    <definedName name="solver_tim" localSheetId="20" hidden="1">60000</definedName>
    <definedName name="solver_tim" localSheetId="24" hidden="1">2147483647</definedName>
    <definedName name="solver_tim" localSheetId="28" hidden="1">60000</definedName>
    <definedName name="solver_tim" localSheetId="33" hidden="1">2147483647</definedName>
    <definedName name="solver_tim" localSheetId="35" hidden="1">2147483647</definedName>
    <definedName name="solver_tim" localSheetId="32" hidden="1">2147483647</definedName>
    <definedName name="solver_tim" localSheetId="34" hidden="1">2147483647</definedName>
    <definedName name="solver_tim_1" localSheetId="4">2147483647</definedName>
    <definedName name="solver_tim_2" localSheetId="8">2147483647</definedName>
    <definedName name="solver_tim_3" localSheetId="12">2147483647</definedName>
    <definedName name="solver_tol" localSheetId="0" hidden="1">0.01</definedName>
    <definedName name="solver_tol" localSheetId="4" hidden="1">0.01</definedName>
    <definedName name="solver_tol" localSheetId="8" hidden="1">0.01</definedName>
    <definedName name="solver_tol" localSheetId="12" hidden="1">0.01</definedName>
    <definedName name="solver_tol" localSheetId="16" hidden="1">0.01</definedName>
    <definedName name="solver_tol" localSheetId="20" hidden="1">0.01</definedName>
    <definedName name="solver_tol" localSheetId="24" hidden="1">0.01</definedName>
    <definedName name="solver_tol" localSheetId="28" hidden="1">0.01</definedName>
    <definedName name="solver_tol" localSheetId="33" hidden="1">0.01</definedName>
    <definedName name="solver_tol" localSheetId="35" hidden="1">0.01</definedName>
    <definedName name="solver_tol" localSheetId="32" hidden="1">0.01</definedName>
    <definedName name="solver_tol" localSheetId="34" hidden="1">0.01</definedName>
    <definedName name="solver_typ" localSheetId="0" hidden="1">2</definedName>
    <definedName name="solver_typ" localSheetId="4" hidden="1">1</definedName>
    <definedName name="solver_typ" localSheetId="8" hidden="1">2</definedName>
    <definedName name="solver_typ" localSheetId="12" hidden="1">1</definedName>
    <definedName name="solver_typ" localSheetId="16" hidden="1">1</definedName>
    <definedName name="solver_typ" localSheetId="20" hidden="1">1</definedName>
    <definedName name="solver_typ" localSheetId="24" hidden="1">1</definedName>
    <definedName name="solver_typ" localSheetId="28" hidden="1">1</definedName>
    <definedName name="solver_typ" localSheetId="33" hidden="1">1</definedName>
    <definedName name="solver_typ" localSheetId="35" hidden="1">1</definedName>
    <definedName name="solver_typ" localSheetId="32" hidden="1">2</definedName>
    <definedName name="solver_typ" localSheetId="34" hidden="1">2</definedName>
    <definedName name="solver_typ_1" localSheetId="4">1</definedName>
    <definedName name="solver_typ_2" localSheetId="8">2</definedName>
    <definedName name="solver_typ_3" localSheetId="12">1</definedName>
    <definedName name="solver_val" localSheetId="0" hidden="1">0</definedName>
    <definedName name="solver_val" localSheetId="4" hidden="1">0</definedName>
    <definedName name="solver_val" localSheetId="8" hidden="1">0</definedName>
    <definedName name="solver_val" localSheetId="12" hidden="1">0</definedName>
    <definedName name="solver_val" localSheetId="16" hidden="1">0</definedName>
    <definedName name="solver_val" localSheetId="20" hidden="1">0</definedName>
    <definedName name="solver_val" localSheetId="24" hidden="1">0</definedName>
    <definedName name="solver_val" localSheetId="28" hidden="1">0</definedName>
    <definedName name="solver_val" localSheetId="33" hidden="1">0</definedName>
    <definedName name="solver_val" localSheetId="35" hidden="1">0</definedName>
    <definedName name="solver_val" localSheetId="32" hidden="1">0</definedName>
    <definedName name="solver_val" localSheetId="34" hidden="1">0</definedName>
    <definedName name="solver_val_1" localSheetId="4">0</definedName>
    <definedName name="solver_val_2" localSheetId="8">0</definedName>
    <definedName name="solver_val_3" localSheetId="12">0</definedName>
    <definedName name="solver_ver" localSheetId="0" hidden="1">3</definedName>
    <definedName name="solver_ver" localSheetId="4" hidden="1">3</definedName>
    <definedName name="solver_ver" localSheetId="8" hidden="1">3</definedName>
    <definedName name="solver_ver" localSheetId="12" hidden="1">3</definedName>
    <definedName name="solver_ver" localSheetId="16" hidden="1">3</definedName>
    <definedName name="solver_ver" localSheetId="20" hidden="1">3</definedName>
    <definedName name="solver_ver" localSheetId="24" hidden="1">3</definedName>
    <definedName name="solver_ver" localSheetId="28" hidden="1">3</definedName>
    <definedName name="solver_ver" localSheetId="33" hidden="1">3</definedName>
    <definedName name="solver_ver" localSheetId="35" hidden="1">3</definedName>
    <definedName name="solver_ver" localSheetId="32" hidden="1">3</definedName>
    <definedName name="solver_ver" localSheetId="34" hidden="1">3</definedName>
    <definedName name="solver_ver_1" localSheetId="4">3</definedName>
    <definedName name="solver_ver_2" localSheetId="8">3</definedName>
    <definedName name="solver_ver_3" localSheetId="12">3</definedName>
    <definedName name="solver_vrt" localSheetId="16">3</definedName>
    <definedName name="solver_vrt" localSheetId="20">3</definedName>
    <definedName name="solver_vrt" localSheetId="28">3</definedName>
    <definedName name="suma">'6'!$B$1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37" l="1"/>
  <c r="E12" i="37"/>
  <c r="E11" i="37"/>
  <c r="E10" i="37"/>
  <c r="E9" i="37"/>
  <c r="E8" i="37"/>
  <c r="B1" i="35"/>
  <c r="G10" i="35"/>
  <c r="G9" i="35"/>
  <c r="G8" i="35"/>
  <c r="B1" i="36"/>
  <c r="F10" i="36"/>
  <c r="F9" i="36"/>
  <c r="F8" i="36"/>
  <c r="B1" i="34"/>
  <c r="E11" i="34"/>
  <c r="E10" i="34"/>
  <c r="E9" i="34"/>
  <c r="E8" i="34"/>
  <c r="B2" i="1"/>
  <c r="D9" i="1"/>
  <c r="D10" i="1"/>
  <c r="B1" i="2"/>
  <c r="D7" i="2"/>
  <c r="D8" i="2"/>
  <c r="D9" i="2"/>
  <c r="B1" i="3"/>
  <c r="H7" i="3"/>
  <c r="H8" i="3"/>
  <c r="H9" i="3"/>
  <c r="B1" i="4"/>
  <c r="F8" i="4"/>
  <c r="F9" i="4"/>
  <c r="F10" i="4"/>
  <c r="F11" i="4"/>
  <c r="F12" i="4"/>
  <c r="F13" i="4"/>
  <c r="B1" i="5"/>
  <c r="E9" i="5"/>
  <c r="E10" i="5"/>
  <c r="E11" i="5"/>
  <c r="B1" i="6"/>
  <c r="E7" i="6"/>
  <c r="E8" i="6"/>
  <c r="E9" i="6"/>
  <c r="B1" i="7"/>
  <c r="F9" i="7"/>
  <c r="F10" i="7"/>
  <c r="F11" i="7"/>
  <c r="F12" i="7"/>
  <c r="F13" i="7"/>
  <c r="F14" i="7"/>
  <c r="F15" i="7"/>
  <c r="F16" i="7"/>
  <c r="F17" i="7"/>
  <c r="F18" i="7"/>
  <c r="B1" i="8"/>
  <c r="E8" i="8"/>
  <c r="E9" i="8"/>
  <c r="E10" i="8"/>
  <c r="E11" i="8"/>
  <c r="E12" i="8"/>
  <c r="E13" i="8"/>
</calcChain>
</file>

<file path=xl/sharedStrings.xml><?xml version="1.0" encoding="utf-8"?>
<sst xmlns="http://schemas.openxmlformats.org/spreadsheetml/2006/main" count="1260" uniqueCount="289">
  <si>
    <t>Objetivo</t>
  </si>
  <si>
    <t>Celda</t>
  </si>
  <si>
    <t>Nombre</t>
  </si>
  <si>
    <t>Valor</t>
  </si>
  <si>
    <t xml:space="preserve">Costo </t>
  </si>
  <si>
    <t>$B$5</t>
  </si>
  <si>
    <t>Cant X1</t>
  </si>
  <si>
    <t>$C$5</t>
  </si>
  <si>
    <t>Cant X2</t>
  </si>
  <si>
    <t>Celdas de variables</t>
  </si>
  <si>
    <t>Restricciones</t>
  </si>
  <si>
    <t>$D$9</t>
  </si>
  <si>
    <t>$D$10</t>
  </si>
  <si>
    <t>Final</t>
  </si>
  <si>
    <t>Reducido</t>
  </si>
  <si>
    <t>Permisible</t>
  </si>
  <si>
    <t>Coste</t>
  </si>
  <si>
    <t>Coeficiente</t>
  </si>
  <si>
    <t>Sombra</t>
  </si>
  <si>
    <t>Restricción</t>
  </si>
  <si>
    <t>Precio</t>
  </si>
  <si>
    <t>Lado derecho</t>
  </si>
  <si>
    <t>Tipo de Carne</t>
  </si>
  <si>
    <t>X1</t>
  </si>
  <si>
    <t>X2</t>
  </si>
  <si>
    <t>Cant</t>
  </si>
  <si>
    <t>$</t>
  </si>
  <si>
    <t xml:space="preserve">Restricciones </t>
  </si>
  <si>
    <t>LI</t>
  </si>
  <si>
    <t xml:space="preserve">Grasa </t>
  </si>
  <si>
    <t>&lt;=</t>
  </si>
  <si>
    <t>=</t>
  </si>
  <si>
    <t>$B$3</t>
  </si>
  <si>
    <t>Cantidad X1</t>
  </si>
  <si>
    <t>$C$3</t>
  </si>
  <si>
    <t>Cantidad X2</t>
  </si>
  <si>
    <t>$D$7</t>
  </si>
  <si>
    <t>solver_lhs1_1</t>
  </si>
  <si>
    <t>$D$8</t>
  </si>
  <si>
    <t>solver_lhs2_1</t>
  </si>
  <si>
    <t>Demanda Max</t>
  </si>
  <si>
    <t>Ganancia:</t>
  </si>
  <si>
    <t>Juguetes:</t>
  </si>
  <si>
    <t>Cantidad</t>
  </si>
  <si>
    <t xml:space="preserve">Utilidad </t>
  </si>
  <si>
    <t>Acabado</t>
  </si>
  <si>
    <t>Carpinteria</t>
  </si>
  <si>
    <t>Cantidad A</t>
  </si>
  <si>
    <t>Cantidad B</t>
  </si>
  <si>
    <t>$D$3</t>
  </si>
  <si>
    <t>Cantidad C</t>
  </si>
  <si>
    <t>$E$3</t>
  </si>
  <si>
    <t>Cantidad D</t>
  </si>
  <si>
    <t>$F$3</t>
  </si>
  <si>
    <t>Cantidad E</t>
  </si>
  <si>
    <t>$G$3</t>
  </si>
  <si>
    <t>Cantidad F</t>
  </si>
  <si>
    <t>$H$7</t>
  </si>
  <si>
    <t>solver_lhs1_2</t>
  </si>
  <si>
    <t>$H$8</t>
  </si>
  <si>
    <t>solver_lhs2_2</t>
  </si>
  <si>
    <t>$H$9</t>
  </si>
  <si>
    <t>solver_lhs3_1</t>
  </si>
  <si>
    <t>Costo</t>
  </si>
  <si>
    <t>Alimento</t>
  </si>
  <si>
    <t>A</t>
  </si>
  <si>
    <t>B</t>
  </si>
  <si>
    <t>C</t>
  </si>
  <si>
    <t>D</t>
  </si>
  <si>
    <t>E</t>
  </si>
  <si>
    <t>F</t>
  </si>
  <si>
    <t>CostoAlimento</t>
  </si>
  <si>
    <t>Proteinas</t>
  </si>
  <si>
    <t>&gt;=</t>
  </si>
  <si>
    <t>Carbohidratos</t>
  </si>
  <si>
    <t>Grasa</t>
  </si>
  <si>
    <t>$B$4</t>
  </si>
  <si>
    <t>solver_lhs7</t>
  </si>
  <si>
    <t>$C$4</t>
  </si>
  <si>
    <t>$D$4</t>
  </si>
  <si>
    <t>$E$4</t>
  </si>
  <si>
    <t>$F$8</t>
  </si>
  <si>
    <t>solver_lhs1_3</t>
  </si>
  <si>
    <t>$F$9</t>
  </si>
  <si>
    <t>solver_lhs2_3</t>
  </si>
  <si>
    <t>$F$10</t>
  </si>
  <si>
    <t>solver_lhs3_2</t>
  </si>
  <si>
    <t>$F$11</t>
  </si>
  <si>
    <t>Produccion D</t>
  </si>
  <si>
    <t>$F$12</t>
  </si>
  <si>
    <t>Unidades de A</t>
  </si>
  <si>
    <t>$F$13</t>
  </si>
  <si>
    <t>Combinacion</t>
  </si>
  <si>
    <t>Productos</t>
  </si>
  <si>
    <t>Costo en Mil</t>
  </si>
  <si>
    <t>Hs Maquinado</t>
  </si>
  <si>
    <t>Hs Pulido</t>
  </si>
  <si>
    <t>Hs Ensamble</t>
  </si>
  <si>
    <t>Ganancia</t>
  </si>
  <si>
    <t xml:space="preserve">Cantidad C </t>
  </si>
  <si>
    <t>$E$9</t>
  </si>
  <si>
    <t>Produccion B</t>
  </si>
  <si>
    <t>$E$10</t>
  </si>
  <si>
    <t>Produccion C</t>
  </si>
  <si>
    <t>$E$11</t>
  </si>
  <si>
    <t>Cantidad Max Hs</t>
  </si>
  <si>
    <t xml:space="preserve">Productos </t>
  </si>
  <si>
    <t xml:space="preserve">C </t>
  </si>
  <si>
    <t>Utilidad</t>
  </si>
  <si>
    <t>Restriciones</t>
  </si>
  <si>
    <t xml:space="preserve">&gt;= </t>
  </si>
  <si>
    <t>Cantidad usada</t>
  </si>
  <si>
    <t>Producto</t>
  </si>
  <si>
    <t>Ham</t>
  </si>
  <si>
    <t>Albon</t>
  </si>
  <si>
    <t>Tortillas</t>
  </si>
  <si>
    <t xml:space="preserve">Cantidad de carne </t>
  </si>
  <si>
    <t>killos disponibles</t>
  </si>
  <si>
    <t>Cantidad de Filete</t>
  </si>
  <si>
    <t>Cantidad de Lomo</t>
  </si>
  <si>
    <t>Cantidad de Cerdo</t>
  </si>
  <si>
    <t xml:space="preserve">Ganancia </t>
  </si>
  <si>
    <t>Posibilidades</t>
  </si>
  <si>
    <t>X3</t>
  </si>
  <si>
    <t>X4</t>
  </si>
  <si>
    <t>Cantidades</t>
  </si>
  <si>
    <t>Margen</t>
  </si>
  <si>
    <t>Demanda Max NR</t>
  </si>
  <si>
    <t>Demanda Max NE</t>
  </si>
  <si>
    <t>Cantidad Max PN</t>
  </si>
  <si>
    <t>Cantidad Max PI</t>
  </si>
  <si>
    <t>Cantidad Min NR</t>
  </si>
  <si>
    <t>Cantidad Min NE</t>
  </si>
  <si>
    <t>Presion Vapor NR</t>
  </si>
  <si>
    <t>Presion Vapor NE</t>
  </si>
  <si>
    <t>Octanaje Min NR</t>
  </si>
  <si>
    <t>Octanaje Min NE</t>
  </si>
  <si>
    <t xml:space="preserve">Audiencia </t>
  </si>
  <si>
    <t>Formas</t>
  </si>
  <si>
    <t>Televisión</t>
  </si>
  <si>
    <t>Radio</t>
  </si>
  <si>
    <t>Prensa</t>
  </si>
  <si>
    <t xml:space="preserve">Visibilidad </t>
  </si>
  <si>
    <t>Presupuesto</t>
  </si>
  <si>
    <t>Uso Max T</t>
  </si>
  <si>
    <t>Uso Max R</t>
  </si>
  <si>
    <t>uso Max P</t>
  </si>
  <si>
    <t>R Menos 50%</t>
  </si>
  <si>
    <t>T Mas del 10%</t>
  </si>
  <si>
    <t>Microsoft Excel 16.0 Informe de sensibilidad</t>
  </si>
  <si>
    <t>Aumentar</t>
  </si>
  <si>
    <t>Reducir</t>
  </si>
  <si>
    <t>Hoja de cálculo: [TP3.xls]Hoja6</t>
  </si>
  <si>
    <t>Informe creado: 17/4/2026 17:25:33</t>
  </si>
  <si>
    <t>Cantidad de carne  Ham</t>
  </si>
  <si>
    <t>Cantidad de carne  Albon</t>
  </si>
  <si>
    <t>Cantidad de carne  Tortillas</t>
  </si>
  <si>
    <t>$E$7</t>
  </si>
  <si>
    <t>$E$8</t>
  </si>
  <si>
    <t>Hoja de cálculo: [TP3.xls]Hoja7</t>
  </si>
  <si>
    <t>Informe creado: 17/4/2026 17:30:11</t>
  </si>
  <si>
    <t>Cantidades X1</t>
  </si>
  <si>
    <t>Cantidades X2</t>
  </si>
  <si>
    <t>Cantidades X3</t>
  </si>
  <si>
    <t>Cantidades X4</t>
  </si>
  <si>
    <t>$F$14</t>
  </si>
  <si>
    <t>$F$15</t>
  </si>
  <si>
    <t>$F$16</t>
  </si>
  <si>
    <t>$F$17</t>
  </si>
  <si>
    <t>$F$18</t>
  </si>
  <si>
    <t>Hoja de cálculo: [TP3.xls]Hoja8</t>
  </si>
  <si>
    <t>Cantidad Televisión</t>
  </si>
  <si>
    <t>Cantidad Radio</t>
  </si>
  <si>
    <t>Cantidad Prensa</t>
  </si>
  <si>
    <t>$E$12</t>
  </si>
  <si>
    <t>$E$13</t>
  </si>
  <si>
    <t>Informe creado: 17/4/2026 17:54:50</t>
  </si>
  <si>
    <t>Hoja de cálculo: [TP3.xls]1</t>
  </si>
  <si>
    <t>Informe creado: 23/4/2026 09:28:16</t>
  </si>
  <si>
    <t>Grasa  LI</t>
  </si>
  <si>
    <t>Hoja de cálculo: [TP3.xls]2</t>
  </si>
  <si>
    <t>Informe creado: 23/4/2026 09:28:37</t>
  </si>
  <si>
    <t>Hoja de cálculo: [TP3.xls]3</t>
  </si>
  <si>
    <t>Informe creado: 23/4/2026 09:28:49</t>
  </si>
  <si>
    <t>Hoja de cálculo: [TP3.xls]4</t>
  </si>
  <si>
    <t>Informe creado: 23/4/2026 09:29:01</t>
  </si>
  <si>
    <t>Hoja de cálculo: [TP3.xls]Hoja5</t>
  </si>
  <si>
    <t>Informe creado: 23/4/2026 09:29:19</t>
  </si>
  <si>
    <t>x1</t>
  </si>
  <si>
    <t>x2</t>
  </si>
  <si>
    <t>x3</t>
  </si>
  <si>
    <t>y1</t>
  </si>
  <si>
    <t>y2</t>
  </si>
  <si>
    <t>y3</t>
  </si>
  <si>
    <t>y4</t>
  </si>
  <si>
    <t>x4</t>
  </si>
  <si>
    <t>x5</t>
  </si>
  <si>
    <t>Microsoft Excel 16.0 Informe de respuestas</t>
  </si>
  <si>
    <t>Hoja de cálculo: [TP3.xlsx]1</t>
  </si>
  <si>
    <t>Informe creado: 23/4/2026 10:02:20</t>
  </si>
  <si>
    <t>Resultado: Solver encontró una solución. Se cumplen todas las restricciones y condiciones óptimas.</t>
  </si>
  <si>
    <t>Motor de Solver</t>
  </si>
  <si>
    <t>Motor: Simplex LP</t>
  </si>
  <si>
    <t>Tiempo de la solución: 0,016 segundos.</t>
  </si>
  <si>
    <t>Iteraciones: 2 Subproblemas: 0</t>
  </si>
  <si>
    <t>Opciones de Solver</t>
  </si>
  <si>
    <t>Tiempo máximo Ilimitado,  Iteraciones Ilimitado, Precision 0, Usar escala automática</t>
  </si>
  <si>
    <t>Máximo de subproblemas Ilimitado, Máximo de soluciones de enteros Ilimitado, Tolerancia de enteros 1%, Asumir no negativo</t>
  </si>
  <si>
    <t>Celda objetivo (Mín)</t>
  </si>
  <si>
    <t>Valor original</t>
  </si>
  <si>
    <t>Valor final</t>
  </si>
  <si>
    <t>Entero</t>
  </si>
  <si>
    <t>Valor de la celda</t>
  </si>
  <si>
    <t>Fórmula</t>
  </si>
  <si>
    <t>Estado</t>
  </si>
  <si>
    <t>Demora</t>
  </si>
  <si>
    <t>$B$2</t>
  </si>
  <si>
    <t>Continuar</t>
  </si>
  <si>
    <t>$D$9&lt;=$F$9</t>
  </si>
  <si>
    <t>Vinculante</t>
  </si>
  <si>
    <t>$D$10=$F$10</t>
  </si>
  <si>
    <t>Microsoft Excel 16.0 Informe de límites</t>
  </si>
  <si>
    <t>Variable</t>
  </si>
  <si>
    <t>Inferior</t>
  </si>
  <si>
    <t>Límite</t>
  </si>
  <si>
    <t>Resultado</t>
  </si>
  <si>
    <t>Superior</t>
  </si>
  <si>
    <t>#N/D</t>
  </si>
  <si>
    <t>Hoja de cálculo: [TP3.xlsx]2</t>
  </si>
  <si>
    <t>Informe creado: 23/4/2026 10:02:36</t>
  </si>
  <si>
    <t>Tiempo de la solución: 0,015 segundos.</t>
  </si>
  <si>
    <t>Iteraciones: 3 Subproblemas: 0</t>
  </si>
  <si>
    <t>Tiempo máximo Ilimitado,  Iteraciones Ilimitado, Precision 0,000001, Usar escala automática</t>
  </si>
  <si>
    <t>Celda objetivo (Máx)</t>
  </si>
  <si>
    <t>$B$1</t>
  </si>
  <si>
    <t>solver_opt_1</t>
  </si>
  <si>
    <t>No vinculante</t>
  </si>
  <si>
    <t>$D$7&lt;=$F$7</t>
  </si>
  <si>
    <t>$D$8&lt;=$F$8</t>
  </si>
  <si>
    <t>Hoja de cálculo: [TP3.xlsx]3</t>
  </si>
  <si>
    <t>Informe creado: 23/4/2026 10:02:51</t>
  </si>
  <si>
    <t>Tiempo de la solución: 0 segundos.</t>
  </si>
  <si>
    <t>Iteraciones: 4 Subproblemas: 0</t>
  </si>
  <si>
    <t>solver_opt_2</t>
  </si>
  <si>
    <t>$H$7&gt;=$J$7</t>
  </si>
  <si>
    <t>$H$8&gt;=$J$8</t>
  </si>
  <si>
    <t>$H$9&gt;=$J$9</t>
  </si>
  <si>
    <t>Hoja de cálculo: [TP3.xlsx]4</t>
  </si>
  <si>
    <t>Informe creado: 23/4/2026 10:03:05</t>
  </si>
  <si>
    <t>Iteraciones: 5 Subproblemas: 0</t>
  </si>
  <si>
    <t>solver_opt_3</t>
  </si>
  <si>
    <t>$F$12&gt;=$H$12</t>
  </si>
  <si>
    <t>$F$13&gt;=$H$13</t>
  </si>
  <si>
    <t>$F$11&lt;=$H$11</t>
  </si>
  <si>
    <t>$F$8&lt;=$H$8</t>
  </si>
  <si>
    <t>$F$10&lt;=$H$10</t>
  </si>
  <si>
    <t>$F$9&lt;=$H$9</t>
  </si>
  <si>
    <t>Hoja de cálculo: [TP3.xlsx]5</t>
  </si>
  <si>
    <t>Informe creado: 23/4/2026 10:03:22</t>
  </si>
  <si>
    <t>Tiempo máximo Ilimitado,  Iteraciones Ilimitado, Precision 0,01, Usar escala automática</t>
  </si>
  <si>
    <t>$E$9&gt;=$G$9</t>
  </si>
  <si>
    <t>$E$10&gt;=$G$10</t>
  </si>
  <si>
    <t>$E$11&lt;=$G$11</t>
  </si>
  <si>
    <t>Hoja de cálculo: [TP3.xlsx]6</t>
  </si>
  <si>
    <t>Informe creado: 23/4/2026 10:03:33</t>
  </si>
  <si>
    <t>Tiempo máximo 60000 seg.,  Iteraciones Ilimitado, Precision 0,000001</t>
  </si>
  <si>
    <t>Máximo de subproblemas Ilimitado, Máximo de soluciones de enteros Ilimitado, Tolerancia de enteros 1%</t>
  </si>
  <si>
    <t>suma</t>
  </si>
  <si>
    <t>$E$7&lt;=$G$7</t>
  </si>
  <si>
    <t>$E$8&lt;=$G$8</t>
  </si>
  <si>
    <t>$E$9&lt;=$G$9</t>
  </si>
  <si>
    <t>Hoja de cálculo: [TP3.xlsx]7</t>
  </si>
  <si>
    <t>Informe creado: 23/4/2026 10:03:45</t>
  </si>
  <si>
    <t>Iteraciones: 7 Subproblemas: 0</t>
  </si>
  <si>
    <t>$F$12&lt;=$H$12</t>
  </si>
  <si>
    <t>$F$14&gt;=$H$14</t>
  </si>
  <si>
    <t>$F$15&lt;=$H$15</t>
  </si>
  <si>
    <t>$F$16&lt;=$H$16</t>
  </si>
  <si>
    <t>$F$17&gt;=$H$17</t>
  </si>
  <si>
    <t>$F$18&gt;=$H$18</t>
  </si>
  <si>
    <t>Hoja de cálculo: [TP3.xlsx]8</t>
  </si>
  <si>
    <t>Informe creado: 23/4/2026 10:03:55</t>
  </si>
  <si>
    <t>$E$10&lt;=$G$10</t>
  </si>
  <si>
    <t>$E$12&lt;=$G$12</t>
  </si>
  <si>
    <t>$E$13&gt;=$G$13</t>
  </si>
  <si>
    <t>A1</t>
  </si>
  <si>
    <t>A2</t>
  </si>
  <si>
    <t>L</t>
  </si>
  <si>
    <t>&lt;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</si>
</sst>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name val="Arial"/>
      <family val="2"/>
    </font>
    <font>
      <sz val="11"/>
      <name val="Calibri"/>
      <family val="2"/>
    </font>
    <font>
      <b/>
      <sz val="11"/>
      <name val="Arial"/>
      <family val="2"/>
    </font>
    <font>
      <b/>
      <sz val="11"/>
      <color indexed="18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sz val="11"/>
      <color indexed="63"/>
      <name val="Arial"/>
      <family val="2"/>
    </font>
    <font>
      <i/>
      <sz val="11"/>
      <color indexed="23"/>
      <name val="Arial"/>
      <family val="2"/>
    </font>
    <font>
      <u/>
      <sz val="11"/>
      <color indexed="12"/>
      <name val="Arial"/>
      <family val="2"/>
    </font>
    <font>
      <sz val="11"/>
      <color indexed="17"/>
      <name val="Arial"/>
      <family val="2"/>
    </font>
    <font>
      <sz val="11"/>
      <color indexed="10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47"/>
      </patternFill>
    </fill>
    <fill>
      <patternFill patternType="solid">
        <fgColor indexed="47"/>
        <bgColor indexed="31"/>
      </patternFill>
    </fill>
    <fill>
      <patternFill patternType="solid">
        <fgColor indexed="10"/>
        <bgColor indexed="1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</fills>
  <borders count="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</borders>
  <cellStyleXfs count="16">
    <xf numFmtId="0" fontId="0" fillId="0" borderId="0"/>
    <xf numFmtId="0" fontId="2" fillId="0" borderId="0" applyNumberFormat="0" applyBorder="0" applyProtection="0"/>
    <xf numFmtId="0" fontId="11" fillId="2" borderId="0" applyNumberFormat="0" applyBorder="0" applyProtection="0"/>
    <xf numFmtId="0" fontId="11" fillId="3" borderId="0" applyNumberFormat="0" applyBorder="0" applyProtection="0"/>
    <xf numFmtId="0" fontId="2" fillId="4" borderId="0" applyNumberFormat="0" applyBorder="0" applyProtection="0"/>
    <xf numFmtId="0" fontId="10" fillId="5" borderId="0" applyNumberFormat="0" applyBorder="0" applyProtection="0"/>
    <xf numFmtId="0" fontId="11" fillId="6" borderId="0" applyNumberFormat="0" applyBorder="0" applyProtection="0"/>
    <xf numFmtId="0" fontId="7" fillId="0" borderId="0" applyNumberFormat="0" applyBorder="0" applyProtection="0"/>
    <xf numFmtId="0" fontId="9" fillId="7" borderId="0" applyNumberFormat="0" applyBorder="0" applyProtection="0"/>
    <xf numFmtId="0" fontId="4" fillId="0" borderId="0" applyNumberFormat="0" applyBorder="0" applyProtection="0"/>
    <xf numFmtId="0" fontId="5" fillId="0" borderId="0" applyNumberFormat="0" applyBorder="0" applyProtection="0"/>
    <xf numFmtId="0" fontId="8" fillId="0" borderId="0" applyNumberFormat="0" applyBorder="0" applyProtection="0"/>
    <xf numFmtId="0" fontId="6" fillId="8" borderId="1" applyNumberFormat="0" applyProtection="0"/>
    <xf numFmtId="0" fontId="12" fillId="0" borderId="0" applyNumberFormat="0" applyBorder="0" applyProtection="0"/>
    <xf numFmtId="0" fontId="12" fillId="0" borderId="0" applyNumberFormat="0" applyBorder="0" applyProtection="0"/>
    <xf numFmtId="0" fontId="10" fillId="0" borderId="0" applyNumberFormat="0" applyBorder="0" applyProtection="0"/>
  </cellStyleXfs>
  <cellXfs count="11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2" xfId="0" applyBorder="1"/>
    <xf numFmtId="0" fontId="0" fillId="0" borderId="3" xfId="0" applyBorder="1"/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3" fillId="0" borderId="0" xfId="0" applyFont="1"/>
    <xf numFmtId="0" fontId="13" fillId="0" borderId="0" xfId="0" applyFont="1" applyAlignment="1">
      <alignment horizontal="left"/>
    </xf>
    <xf numFmtId="0" fontId="3" fillId="0" borderId="6" xfId="0" applyFont="1" applyBorder="1" applyAlignment="1">
      <alignment horizontal="center"/>
    </xf>
    <xf numFmtId="11" fontId="0" fillId="0" borderId="2" xfId="0" applyNumberFormat="1" applyBorder="1"/>
  </cellXfs>
  <cellStyles count="16">
    <cellStyle name="Accent" xfId="1" xr:uid="{F7DA63D5-C2BB-44F7-AA68-DF2DD367A5E0}"/>
    <cellStyle name="Accent 1" xfId="2" xr:uid="{B218CE45-FDF2-4ADF-B4D6-1B94F2A46CEC}"/>
    <cellStyle name="Accent 2" xfId="3" xr:uid="{11082602-8901-4490-A297-99E53D3A4FBC}"/>
    <cellStyle name="Accent 3" xfId="4" xr:uid="{6F2C10FD-E000-4860-B428-4613987E8056}"/>
    <cellStyle name="Bad" xfId="5" xr:uid="{81D91F5B-7D2A-42E0-8436-E5CDF91D88DB}"/>
    <cellStyle name="Error" xfId="6" xr:uid="{51C541A7-1C26-4E58-A1BB-6487FE4FAA3B}"/>
    <cellStyle name="Footnote" xfId="7" xr:uid="{BAF55F17-60FD-417E-874B-97276BB4879C}"/>
    <cellStyle name="Good" xfId="8" xr:uid="{B337DA76-6C1E-4DE5-B1D1-89C5C01A51E8}"/>
    <cellStyle name="Heading 1" xfId="9" xr:uid="{696E80B8-E772-4BC4-B87E-1A31EEF69472}"/>
    <cellStyle name="Heading 2" xfId="10" xr:uid="{6A70D722-DC09-41A9-9A28-6568B59328F9}"/>
    <cellStyle name="Hyperlink" xfId="11" xr:uid="{C28E48B0-6D9D-4E65-A8D5-BF176B326CD9}"/>
    <cellStyle name="Normal" xfId="0" builtinId="0"/>
    <cellStyle name="Note" xfId="12" xr:uid="{0FC1003A-1BF0-4DAE-99A0-6E768CFBCC12}"/>
    <cellStyle name="Status" xfId="13" xr:uid="{3060F77C-4B69-4822-BAFC-99214708A25E}"/>
    <cellStyle name="Text" xfId="14" xr:uid="{796CFE9C-A058-4FD6-ABB3-5E8F0410DB7D}"/>
    <cellStyle name="Warning" xfId="15" xr:uid="{50F0177B-99BC-4A27-9BCC-FA69E5927E38}"/>
  </cellStyles>
  <dxfs count="17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Preset3_Accent1" defaultPivotStyle="PivotStylePreset2_Accent1">
    <tableStyle name="TableStylePreset3_Accent1" pivot="0" count="7" xr9:uid="{136F5F7B-2B66-4756-9EAF-171C652A7946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76D5288C-4881-4E71-862D-7E7EC3346708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0000"/>
      <rgbColor rgb="0000FF00"/>
      <rgbColor rgb="000000EE"/>
      <rgbColor rgb="00FFFF00"/>
      <rgbColor rgb="00FF00FF"/>
      <rgbColor rgb="0000FFFF"/>
      <rgbColor rgb="00800000"/>
      <rgbColor rgb="00006600"/>
      <rgbColor rgb="00000080"/>
      <rgbColor rgb="009966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CC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80C32-699B-4857-805B-6684F0239D19}">
  <dimension ref="A1:F64"/>
  <sheetViews>
    <sheetView workbookViewId="0">
      <selection activeCell="B2" sqref="B2"/>
    </sheetView>
  </sheetViews>
  <sheetFormatPr baseColWidth="10" defaultColWidth="9.125" defaultRowHeight="14.25" x14ac:dyDescent="0.2"/>
  <cols>
    <col min="1" max="1" width="16.25" bestFit="1" customWidth="1"/>
    <col min="2" max="3" width="10.5" bestFit="1" customWidth="1"/>
    <col min="4" max="4" width="4.375" bestFit="1" customWidth="1"/>
    <col min="6" max="6" width="4.375" bestFit="1" customWidth="1"/>
  </cols>
  <sheetData>
    <row r="1" spans="1:6" ht="14.25" customHeight="1" x14ac:dyDescent="0.25">
      <c r="A1" s="7"/>
      <c r="B1" s="7"/>
      <c r="C1" s="7"/>
      <c r="D1" s="7"/>
      <c r="E1" s="7"/>
      <c r="F1" s="7"/>
    </row>
    <row r="2" spans="1:6" ht="14.25" customHeight="1" x14ac:dyDescent="0.25">
      <c r="A2" s="8" t="s">
        <v>4</v>
      </c>
      <c r="B2" s="8">
        <f>B5*B6+C5*C6</f>
        <v>716.66666666666663</v>
      </c>
      <c r="C2" s="7"/>
      <c r="D2" s="7"/>
      <c r="E2" s="7"/>
      <c r="F2" s="7"/>
    </row>
    <row r="3" spans="1:6" ht="14.25" customHeight="1" x14ac:dyDescent="0.25">
      <c r="A3" s="7"/>
      <c r="B3" s="7"/>
      <c r="C3" s="7"/>
      <c r="D3" s="7"/>
      <c r="E3" s="7"/>
      <c r="F3" s="7"/>
    </row>
    <row r="4" spans="1:6" ht="14.25" customHeight="1" x14ac:dyDescent="0.25">
      <c r="A4" s="8" t="s">
        <v>22</v>
      </c>
      <c r="B4" s="8" t="s">
        <v>23</v>
      </c>
      <c r="C4" s="8" t="s">
        <v>24</v>
      </c>
      <c r="D4" s="7"/>
      <c r="E4" s="7"/>
      <c r="F4" s="7"/>
    </row>
    <row r="5" spans="1:6" ht="14.25" customHeight="1" x14ac:dyDescent="0.25">
      <c r="A5" s="8" t="s">
        <v>25</v>
      </c>
      <c r="B5" s="8">
        <v>0.58333333333333337</v>
      </c>
      <c r="C5" s="8">
        <v>0.41666666666666663</v>
      </c>
      <c r="D5" s="7"/>
      <c r="E5" s="7"/>
      <c r="F5" s="7"/>
    </row>
    <row r="6" spans="1:6" ht="14.25" customHeight="1" x14ac:dyDescent="0.25">
      <c r="A6" s="8" t="s">
        <v>26</v>
      </c>
      <c r="B6" s="8">
        <v>800</v>
      </c>
      <c r="C6" s="8">
        <v>600</v>
      </c>
      <c r="D6" s="7"/>
      <c r="E6" s="7"/>
      <c r="F6" s="7"/>
    </row>
    <row r="7" spans="1:6" ht="14.25" customHeight="1" x14ac:dyDescent="0.25">
      <c r="A7" s="7"/>
      <c r="B7" s="7"/>
      <c r="C7" s="7"/>
      <c r="D7" s="7"/>
      <c r="E7" s="7"/>
      <c r="F7" s="7"/>
    </row>
    <row r="8" spans="1:6" ht="14.25" customHeight="1" x14ac:dyDescent="0.25">
      <c r="A8" s="8" t="s">
        <v>27</v>
      </c>
      <c r="B8" s="8"/>
      <c r="C8" s="7"/>
      <c r="D8" s="8" t="s">
        <v>28</v>
      </c>
      <c r="E8" s="7"/>
      <c r="F8" s="7"/>
    </row>
    <row r="9" spans="1:6" ht="14.25" customHeight="1" x14ac:dyDescent="0.25">
      <c r="A9" s="8" t="s">
        <v>29</v>
      </c>
      <c r="B9" s="8">
        <v>0.2</v>
      </c>
      <c r="C9" s="8">
        <v>0.32</v>
      </c>
      <c r="D9" s="8">
        <f>SUMPRODUCT(B5:C5,B9:C9)</f>
        <v>0.25</v>
      </c>
      <c r="E9" s="8" t="s">
        <v>30</v>
      </c>
      <c r="F9" s="8">
        <v>0.25</v>
      </c>
    </row>
    <row r="10" spans="1:6" ht="14.25" customHeight="1" x14ac:dyDescent="0.25">
      <c r="A10" s="8"/>
      <c r="B10" s="8">
        <v>1</v>
      </c>
      <c r="C10" s="8">
        <v>1</v>
      </c>
      <c r="D10" s="8">
        <f>SUMPRODUCT(B5:C5,B10:C10)</f>
        <v>1</v>
      </c>
      <c r="E10" s="8" t="s">
        <v>31</v>
      </c>
      <c r="F10" s="8">
        <v>1</v>
      </c>
    </row>
    <row r="11" spans="1:6" ht="14.25" customHeight="1" x14ac:dyDescent="0.2"/>
    <row r="12" spans="1:6" ht="15" customHeight="1" x14ac:dyDescent="0.2"/>
    <row r="13" spans="1:6" ht="15" customHeight="1" x14ac:dyDescent="0.2"/>
    <row r="14" spans="1:6" ht="15" customHeight="1" x14ac:dyDescent="0.2"/>
    <row r="15" spans="1:6" ht="15" customHeight="1" x14ac:dyDescent="0.2"/>
    <row r="16" spans="1:6" ht="15" customHeight="1" x14ac:dyDescent="0.2"/>
    <row r="17" ht="15" customHeight="1" x14ac:dyDescent="0.2"/>
    <row r="18" ht="15" customHeight="1" x14ac:dyDescent="0.2"/>
    <row r="19" ht="15" customHeight="1" x14ac:dyDescent="0.2"/>
    <row r="20" ht="15" customHeight="1" x14ac:dyDescent="0.2"/>
    <row r="21" ht="15" customHeight="1" x14ac:dyDescent="0.2"/>
    <row r="22" ht="15" customHeight="1" x14ac:dyDescent="0.2"/>
    <row r="23" ht="15" customHeight="1" x14ac:dyDescent="0.2"/>
    <row r="24" ht="15" customHeight="1" x14ac:dyDescent="0.2"/>
    <row r="25" ht="15" customHeight="1" x14ac:dyDescent="0.2"/>
    <row r="26" ht="15" customHeight="1" x14ac:dyDescent="0.2"/>
    <row r="27" ht="15" customHeight="1" x14ac:dyDescent="0.2"/>
    <row r="28" ht="15" customHeight="1" x14ac:dyDescent="0.2"/>
    <row r="29" ht="15" customHeight="1" x14ac:dyDescent="0.2"/>
    <row r="30" ht="15" customHeight="1" x14ac:dyDescent="0.2"/>
    <row r="31" ht="15" customHeight="1" x14ac:dyDescent="0.2"/>
    <row r="32" ht="15" customHeight="1" x14ac:dyDescent="0.2"/>
    <row r="33" ht="15" customHeight="1" x14ac:dyDescent="0.2"/>
    <row r="34" ht="15" customHeight="1" x14ac:dyDescent="0.2"/>
    <row r="35" ht="15" customHeight="1" x14ac:dyDescent="0.2"/>
    <row r="36" ht="15" customHeight="1" x14ac:dyDescent="0.2"/>
    <row r="37" ht="15" customHeight="1" x14ac:dyDescent="0.2"/>
    <row r="38" ht="15" customHeight="1" x14ac:dyDescent="0.2"/>
    <row r="39" ht="15" customHeight="1" x14ac:dyDescent="0.2"/>
    <row r="40" ht="15" customHeight="1" x14ac:dyDescent="0.2"/>
    <row r="41" ht="15" customHeight="1" x14ac:dyDescent="0.2"/>
    <row r="42" ht="15" customHeight="1" x14ac:dyDescent="0.2"/>
    <row r="43" ht="15" customHeight="1" x14ac:dyDescent="0.2"/>
    <row r="44" ht="15" customHeight="1" x14ac:dyDescent="0.2"/>
    <row r="45" ht="15" customHeight="1" x14ac:dyDescent="0.2"/>
    <row r="46" ht="15" customHeight="1" x14ac:dyDescent="0.2"/>
    <row r="47" ht="15" customHeight="1" x14ac:dyDescent="0.2"/>
    <row r="48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  <row r="56" ht="15" customHeight="1" x14ac:dyDescent="0.2"/>
    <row r="57" ht="15" customHeight="1" x14ac:dyDescent="0.2"/>
    <row r="58" ht="15" customHeight="1" x14ac:dyDescent="0.2"/>
    <row r="59" ht="15" customHeight="1" x14ac:dyDescent="0.2"/>
    <row r="60" ht="15" customHeight="1" x14ac:dyDescent="0.2"/>
    <row r="61" ht="15" customHeight="1" x14ac:dyDescent="0.2"/>
    <row r="62" ht="15" customHeight="1" x14ac:dyDescent="0.2"/>
    <row r="63" ht="15" customHeight="1" x14ac:dyDescent="0.2"/>
    <row r="64" ht="15" customHeight="1" x14ac:dyDescent="0.2"/>
  </sheetData>
  <sheetProtection selectLockedCells="1" selectUnlockedCells="1"/>
  <pageMargins left="0.7006944444444444" right="0.7006944444444444" top="1.5395833333333333" bottom="1.5395833333333333" header="0.75208333333333333" footer="0.75208333333333333"/>
  <pageSetup paperSize="9" orientation="portrait" useFirstPageNumber="1" horizontalDpi="300" verticalDpi="300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733C0-639A-4345-A069-1B0D710C88AD}">
  <dimension ref="A1:J14"/>
  <sheetViews>
    <sheetView showGridLines="0" workbookViewId="0">
      <selection sqref="A1:A3"/>
    </sheetView>
  </sheetViews>
  <sheetFormatPr baseColWidth="10" defaultRowHeight="14.25" x14ac:dyDescent="0.2"/>
  <cols>
    <col min="1" max="1" width="2.125" customWidth="1"/>
    <col min="2" max="2" width="6" bestFit="1" customWidth="1"/>
    <col min="3" max="3" width="8" bestFit="1" customWidth="1"/>
    <col min="4" max="4" width="5.375" bestFit="1" customWidth="1"/>
    <col min="5" max="5" width="2.125" customWidth="1"/>
    <col min="6" max="6" width="7.375" bestFit="1" customWidth="1"/>
    <col min="7" max="7" width="9.875" bestFit="1" customWidth="1"/>
    <col min="8" max="8" width="2.125" customWidth="1"/>
    <col min="9" max="9" width="8.625" bestFit="1" customWidth="1"/>
    <col min="10" max="10" width="9.875" bestFit="1" customWidth="1"/>
  </cols>
  <sheetData>
    <row r="1" spans="1:10" ht="15" x14ac:dyDescent="0.25">
      <c r="A1" s="2" t="s">
        <v>221</v>
      </c>
    </row>
    <row r="2" spans="1:10" ht="15" x14ac:dyDescent="0.25">
      <c r="A2" s="2" t="s">
        <v>198</v>
      </c>
    </row>
    <row r="3" spans="1:10" ht="15" x14ac:dyDescent="0.25">
      <c r="A3" s="2" t="s">
        <v>199</v>
      </c>
    </row>
    <row r="5" spans="1:10" ht="15" thickBot="1" x14ac:dyDescent="0.25"/>
    <row r="6" spans="1:10" ht="15" x14ac:dyDescent="0.25">
      <c r="B6" s="5"/>
      <c r="C6" s="5" t="s">
        <v>0</v>
      </c>
      <c r="D6" s="5"/>
    </row>
    <row r="7" spans="1:10" ht="15.75" thickBot="1" x14ac:dyDescent="0.3">
      <c r="B7" s="6" t="s">
        <v>1</v>
      </c>
      <c r="C7" s="6" t="s">
        <v>2</v>
      </c>
      <c r="D7" s="6" t="s">
        <v>3</v>
      </c>
    </row>
    <row r="8" spans="1:10" ht="15" thickBot="1" x14ac:dyDescent="0.25">
      <c r="B8" s="4" t="s">
        <v>216</v>
      </c>
      <c r="C8" s="4" t="s">
        <v>4</v>
      </c>
      <c r="D8" s="4">
        <v>716.66666666666663</v>
      </c>
    </row>
    <row r="10" spans="1:10" ht="15" thickBot="1" x14ac:dyDescent="0.25"/>
    <row r="11" spans="1:10" ht="15" x14ac:dyDescent="0.25">
      <c r="B11" s="5"/>
      <c r="C11" s="5" t="s">
        <v>222</v>
      </c>
      <c r="D11" s="5"/>
      <c r="F11" s="5" t="s">
        <v>223</v>
      </c>
      <c r="G11" s="5" t="s">
        <v>0</v>
      </c>
      <c r="I11" s="5" t="s">
        <v>226</v>
      </c>
      <c r="J11" s="5" t="s">
        <v>0</v>
      </c>
    </row>
    <row r="12" spans="1:10" ht="15.75" thickBot="1" x14ac:dyDescent="0.3">
      <c r="B12" s="6" t="s">
        <v>1</v>
      </c>
      <c r="C12" s="6" t="s">
        <v>2</v>
      </c>
      <c r="D12" s="6" t="s">
        <v>3</v>
      </c>
      <c r="F12" s="6" t="s">
        <v>224</v>
      </c>
      <c r="G12" s="6" t="s">
        <v>225</v>
      </c>
      <c r="I12" s="6" t="s">
        <v>224</v>
      </c>
      <c r="J12" s="6" t="s">
        <v>225</v>
      </c>
    </row>
    <row r="13" spans="1:10" x14ac:dyDescent="0.2">
      <c r="B13" s="3" t="s">
        <v>5</v>
      </c>
      <c r="C13" s="3" t="s">
        <v>6</v>
      </c>
      <c r="D13" s="3">
        <v>0.58333333333333337</v>
      </c>
      <c r="F13" s="3" t="s">
        <v>227</v>
      </c>
      <c r="G13" s="3" t="s">
        <v>227</v>
      </c>
      <c r="I13" s="3" t="s">
        <v>227</v>
      </c>
      <c r="J13" s="3" t="s">
        <v>227</v>
      </c>
    </row>
    <row r="14" spans="1:10" ht="15" thickBot="1" x14ac:dyDescent="0.25">
      <c r="B14" s="4" t="s">
        <v>7</v>
      </c>
      <c r="C14" s="4" t="s">
        <v>8</v>
      </c>
      <c r="D14" s="4">
        <v>0.41666666666666663</v>
      </c>
      <c r="F14" s="4" t="s">
        <v>227</v>
      </c>
      <c r="G14" s="4" t="s">
        <v>227</v>
      </c>
      <c r="I14" s="4" t="s">
        <v>227</v>
      </c>
      <c r="J14" s="4" t="s">
        <v>227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BDFBA-37AF-4C14-B27C-D2D095C1DC84}">
  <dimension ref="A1:G28"/>
  <sheetViews>
    <sheetView showGridLines="0" workbookViewId="0"/>
  </sheetViews>
  <sheetFormatPr baseColWidth="10" defaultRowHeight="14.25" x14ac:dyDescent="0.2"/>
  <cols>
    <col min="1" max="1" width="2.125" customWidth="1"/>
    <col min="2" max="2" width="6.25" bestFit="1" customWidth="1"/>
    <col min="3" max="3" width="8.25" bestFit="1" customWidth="1"/>
    <col min="4" max="4" width="15.375" bestFit="1" customWidth="1"/>
    <col min="5" max="5" width="12.5" bestFit="1" customWidth="1"/>
    <col min="6" max="6" width="9.25" bestFit="1" customWidth="1"/>
    <col min="7" max="7" width="7.75" bestFit="1" customWidth="1"/>
  </cols>
  <sheetData>
    <row r="1" spans="1:5" ht="15" x14ac:dyDescent="0.25">
      <c r="A1" s="2" t="s">
        <v>197</v>
      </c>
    </row>
    <row r="2" spans="1:5" ht="15" x14ac:dyDescent="0.25">
      <c r="A2" s="2" t="s">
        <v>198</v>
      </c>
    </row>
    <row r="3" spans="1:5" ht="15" x14ac:dyDescent="0.25">
      <c r="A3" s="2" t="s">
        <v>199</v>
      </c>
    </row>
    <row r="4" spans="1:5" ht="15" x14ac:dyDescent="0.25">
      <c r="A4" s="2" t="s">
        <v>200</v>
      </c>
    </row>
    <row r="5" spans="1:5" ht="15" x14ac:dyDescent="0.25">
      <c r="A5" s="2" t="s">
        <v>201</v>
      </c>
    </row>
    <row r="6" spans="1:5" ht="15" x14ac:dyDescent="0.25">
      <c r="A6" s="2"/>
      <c r="B6" t="s">
        <v>202</v>
      </c>
    </row>
    <row r="7" spans="1:5" ht="15" x14ac:dyDescent="0.25">
      <c r="A7" s="2"/>
      <c r="B7" t="s">
        <v>203</v>
      </c>
    </row>
    <row r="8" spans="1:5" ht="15" x14ac:dyDescent="0.25">
      <c r="A8" s="2"/>
      <c r="B8" t="s">
        <v>204</v>
      </c>
    </row>
    <row r="9" spans="1:5" ht="15" x14ac:dyDescent="0.25">
      <c r="A9" s="2" t="s">
        <v>205</v>
      </c>
    </row>
    <row r="10" spans="1:5" x14ac:dyDescent="0.2">
      <c r="B10" t="s">
        <v>206</v>
      </c>
    </row>
    <row r="11" spans="1:5" x14ac:dyDescent="0.2">
      <c r="B11" t="s">
        <v>207</v>
      </c>
    </row>
    <row r="14" spans="1:5" ht="15" thickBot="1" x14ac:dyDescent="0.25">
      <c r="A14" t="s">
        <v>208</v>
      </c>
    </row>
    <row r="15" spans="1:5" ht="15.75" thickBot="1" x14ac:dyDescent="0.3">
      <c r="B15" s="9" t="s">
        <v>1</v>
      </c>
      <c r="C15" s="9" t="s">
        <v>2</v>
      </c>
      <c r="D15" s="9" t="s">
        <v>209</v>
      </c>
      <c r="E15" s="9" t="s">
        <v>210</v>
      </c>
    </row>
    <row r="16" spans="1:5" ht="15" thickBot="1" x14ac:dyDescent="0.25">
      <c r="B16" s="4" t="s">
        <v>216</v>
      </c>
      <c r="C16" s="4" t="s">
        <v>4</v>
      </c>
      <c r="D16" s="4">
        <v>716.66666666666663</v>
      </c>
      <c r="E16" s="4">
        <v>716.66666666666663</v>
      </c>
    </row>
    <row r="19" spans="1:7" ht="15" thickBot="1" x14ac:dyDescent="0.25">
      <c r="A19" t="s">
        <v>9</v>
      </c>
    </row>
    <row r="20" spans="1:7" ht="15.75" thickBot="1" x14ac:dyDescent="0.3">
      <c r="B20" s="9" t="s">
        <v>1</v>
      </c>
      <c r="C20" s="9" t="s">
        <v>2</v>
      </c>
      <c r="D20" s="9" t="s">
        <v>209</v>
      </c>
      <c r="E20" s="9" t="s">
        <v>210</v>
      </c>
      <c r="F20" s="9" t="s">
        <v>211</v>
      </c>
    </row>
    <row r="21" spans="1:7" x14ac:dyDescent="0.2">
      <c r="B21" s="3" t="s">
        <v>5</v>
      </c>
      <c r="C21" s="3" t="s">
        <v>6</v>
      </c>
      <c r="D21" s="3">
        <v>0.58333333333333337</v>
      </c>
      <c r="E21" s="3">
        <v>0.58333333333333337</v>
      </c>
      <c r="F21" s="3" t="s">
        <v>217</v>
      </c>
    </row>
    <row r="22" spans="1:7" ht="15" thickBot="1" x14ac:dyDescent="0.25">
      <c r="B22" s="4" t="s">
        <v>7</v>
      </c>
      <c r="C22" s="4" t="s">
        <v>8</v>
      </c>
      <c r="D22" s="4">
        <v>0.41666666666666663</v>
      </c>
      <c r="E22" s="4">
        <v>0.41666666666666663</v>
      </c>
      <c r="F22" s="4" t="s">
        <v>217</v>
      </c>
    </row>
    <row r="25" spans="1:7" ht="15" thickBot="1" x14ac:dyDescent="0.25">
      <c r="A25" t="s">
        <v>10</v>
      </c>
    </row>
    <row r="26" spans="1:7" ht="15.75" thickBot="1" x14ac:dyDescent="0.3">
      <c r="B26" s="9" t="s">
        <v>1</v>
      </c>
      <c r="C26" s="9" t="s">
        <v>2</v>
      </c>
      <c r="D26" s="9" t="s">
        <v>212</v>
      </c>
      <c r="E26" s="9" t="s">
        <v>213</v>
      </c>
      <c r="F26" s="9" t="s">
        <v>214</v>
      </c>
      <c r="G26" s="9" t="s">
        <v>215</v>
      </c>
    </row>
    <row r="27" spans="1:7" x14ac:dyDescent="0.2">
      <c r="B27" s="3" t="s">
        <v>11</v>
      </c>
      <c r="C27" s="3" t="s">
        <v>179</v>
      </c>
      <c r="D27" s="3">
        <v>0.25</v>
      </c>
      <c r="E27" s="3" t="s">
        <v>218</v>
      </c>
      <c r="F27" s="3" t="s">
        <v>219</v>
      </c>
      <c r="G27" s="3">
        <v>0</v>
      </c>
    </row>
    <row r="28" spans="1:7" ht="15" thickBot="1" x14ac:dyDescent="0.25">
      <c r="B28" s="4" t="s">
        <v>12</v>
      </c>
      <c r="C28" s="4" t="s">
        <v>28</v>
      </c>
      <c r="D28" s="4">
        <v>1</v>
      </c>
      <c r="E28" s="4" t="s">
        <v>220</v>
      </c>
      <c r="F28" s="4" t="s">
        <v>219</v>
      </c>
      <c r="G28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82B61-11A9-4765-9151-155ECF620BD3}">
  <dimension ref="A1:H16"/>
  <sheetViews>
    <sheetView showGridLines="0" workbookViewId="0">
      <selection activeCell="E16" sqref="E16"/>
    </sheetView>
  </sheetViews>
  <sheetFormatPr baseColWidth="10" defaultRowHeight="14.25" x14ac:dyDescent="0.2"/>
  <cols>
    <col min="1" max="1" width="2.125" customWidth="1"/>
    <col min="2" max="2" width="6.25" bestFit="1" customWidth="1"/>
    <col min="3" max="3" width="8.25" bestFit="1" customWidth="1"/>
    <col min="4" max="4" width="11.875" bestFit="1" customWidth="1"/>
    <col min="5" max="5" width="12.5" bestFit="1" customWidth="1"/>
    <col min="6" max="6" width="13.125" bestFit="1" customWidth="1"/>
    <col min="7" max="8" width="10.25" bestFit="1" customWidth="1"/>
  </cols>
  <sheetData>
    <row r="1" spans="1:8" ht="15" x14ac:dyDescent="0.25">
      <c r="A1" s="2" t="s">
        <v>149</v>
      </c>
    </row>
    <row r="2" spans="1:8" ht="15" x14ac:dyDescent="0.25">
      <c r="A2" s="2" t="s">
        <v>177</v>
      </c>
    </row>
    <row r="3" spans="1:8" ht="15" x14ac:dyDescent="0.25">
      <c r="A3" s="2" t="s">
        <v>178</v>
      </c>
    </row>
    <row r="6" spans="1:8" ht="15" thickBot="1" x14ac:dyDescent="0.25">
      <c r="A6" t="s">
        <v>9</v>
      </c>
    </row>
    <row r="7" spans="1:8" ht="15" x14ac:dyDescent="0.25">
      <c r="B7" s="5"/>
      <c r="C7" s="5"/>
      <c r="D7" s="5" t="s">
        <v>13</v>
      </c>
      <c r="E7" s="5" t="s">
        <v>14</v>
      </c>
      <c r="F7" s="5" t="s">
        <v>0</v>
      </c>
      <c r="G7" s="5" t="s">
        <v>15</v>
      </c>
      <c r="H7" s="5" t="s">
        <v>15</v>
      </c>
    </row>
    <row r="8" spans="1:8" ht="15.75" thickBot="1" x14ac:dyDescent="0.3">
      <c r="B8" s="6" t="s">
        <v>1</v>
      </c>
      <c r="C8" s="6" t="s">
        <v>2</v>
      </c>
      <c r="D8" s="6" t="s">
        <v>3</v>
      </c>
      <c r="E8" s="6" t="s">
        <v>16</v>
      </c>
      <c r="F8" s="6" t="s">
        <v>17</v>
      </c>
      <c r="G8" s="6" t="s">
        <v>150</v>
      </c>
      <c r="H8" s="6" t="s">
        <v>151</v>
      </c>
    </row>
    <row r="9" spans="1:8" x14ac:dyDescent="0.2">
      <c r="B9" s="3" t="s">
        <v>5</v>
      </c>
      <c r="C9" s="3" t="s">
        <v>6</v>
      </c>
      <c r="D9" s="3">
        <v>0.58333333333333337</v>
      </c>
      <c r="E9" s="3">
        <v>0</v>
      </c>
      <c r="F9" s="3">
        <v>800</v>
      </c>
      <c r="G9" s="3">
        <v>1E+30</v>
      </c>
      <c r="H9" s="3">
        <v>200</v>
      </c>
    </row>
    <row r="10" spans="1:8" ht="15" thickBot="1" x14ac:dyDescent="0.25">
      <c r="B10" s="4" t="s">
        <v>7</v>
      </c>
      <c r="C10" s="4" t="s">
        <v>8</v>
      </c>
      <c r="D10" s="4">
        <v>0.41666666666666663</v>
      </c>
      <c r="E10" s="4">
        <v>0</v>
      </c>
      <c r="F10" s="4">
        <v>600</v>
      </c>
      <c r="G10" s="4">
        <v>200</v>
      </c>
      <c r="H10" s="4">
        <v>1E+30</v>
      </c>
    </row>
    <row r="12" spans="1:8" ht="15" thickBot="1" x14ac:dyDescent="0.25">
      <c r="A12" t="s">
        <v>10</v>
      </c>
    </row>
    <row r="13" spans="1:8" ht="15" x14ac:dyDescent="0.25">
      <c r="B13" s="5"/>
      <c r="C13" s="5"/>
      <c r="D13" s="5" t="s">
        <v>13</v>
      </c>
      <c r="E13" s="5" t="s">
        <v>18</v>
      </c>
      <c r="F13" s="5" t="s">
        <v>19</v>
      </c>
      <c r="G13" s="5" t="s">
        <v>15</v>
      </c>
      <c r="H13" s="5" t="s">
        <v>15</v>
      </c>
    </row>
    <row r="14" spans="1:8" ht="15.75" thickBot="1" x14ac:dyDescent="0.3">
      <c r="B14" s="6" t="s">
        <v>1</v>
      </c>
      <c r="C14" s="6" t="s">
        <v>2</v>
      </c>
      <c r="D14" s="6" t="s">
        <v>3</v>
      </c>
      <c r="E14" s="6" t="s">
        <v>20</v>
      </c>
      <c r="F14" s="6" t="s">
        <v>21</v>
      </c>
      <c r="G14" s="6" t="s">
        <v>150</v>
      </c>
      <c r="H14" s="6" t="s">
        <v>151</v>
      </c>
    </row>
    <row r="15" spans="1:8" x14ac:dyDescent="0.2">
      <c r="B15" s="3" t="s">
        <v>11</v>
      </c>
      <c r="C15" s="3" t="s">
        <v>179</v>
      </c>
      <c r="D15" s="3">
        <v>0.25</v>
      </c>
      <c r="E15" s="3">
        <v>-1666.6666666666667</v>
      </c>
      <c r="F15" s="3">
        <v>0.25</v>
      </c>
      <c r="G15" s="3">
        <v>6.9999999999999993E-2</v>
      </c>
      <c r="H15" s="3">
        <v>4.9999999999999989E-2</v>
      </c>
    </row>
    <row r="16" spans="1:8" ht="15" thickBot="1" x14ac:dyDescent="0.25">
      <c r="B16" s="4" t="s">
        <v>12</v>
      </c>
      <c r="C16" s="4" t="s">
        <v>28</v>
      </c>
      <c r="D16" s="4">
        <v>1</v>
      </c>
      <c r="E16" s="4">
        <v>1133.3333333333301</v>
      </c>
      <c r="F16" s="4">
        <v>1</v>
      </c>
      <c r="G16" s="4">
        <v>0.24999999999999994</v>
      </c>
      <c r="H16" s="4">
        <v>0.21875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3BD15-11B1-4946-91A0-27EC16456C3E}">
  <dimension ref="A1:F64"/>
  <sheetViews>
    <sheetView workbookViewId="0">
      <selection sqref="A1:F9"/>
    </sheetView>
  </sheetViews>
  <sheetFormatPr baseColWidth="10" defaultColWidth="9.125" defaultRowHeight="14.25" x14ac:dyDescent="0.2"/>
  <cols>
    <col min="1" max="1" width="13.625" bestFit="1" customWidth="1"/>
    <col min="2" max="2" width="7.5" customWidth="1"/>
    <col min="3" max="3" width="6.625" customWidth="1"/>
    <col min="4" max="4" width="8.5" customWidth="1"/>
    <col min="5" max="5" width="14" customWidth="1"/>
    <col min="6" max="6" width="3.5" bestFit="1" customWidth="1"/>
  </cols>
  <sheetData>
    <row r="1" spans="1:6" ht="14.25" customHeight="1" x14ac:dyDescent="0.25">
      <c r="A1" s="1" t="s">
        <v>41</v>
      </c>
      <c r="B1" s="1">
        <f>B3*B4+C3*C4</f>
        <v>180</v>
      </c>
      <c r="C1" s="1"/>
    </row>
    <row r="2" spans="1:6" ht="14.25" customHeight="1" x14ac:dyDescent="0.25">
      <c r="A2" s="1" t="s">
        <v>42</v>
      </c>
      <c r="B2" s="1" t="s">
        <v>23</v>
      </c>
      <c r="C2" s="1" t="s">
        <v>24</v>
      </c>
      <c r="D2" s="1"/>
    </row>
    <row r="3" spans="1:6" ht="14.25" customHeight="1" x14ac:dyDescent="0.25">
      <c r="A3" s="1" t="s">
        <v>43</v>
      </c>
      <c r="B3" s="1">
        <v>20</v>
      </c>
      <c r="C3" s="1">
        <v>60</v>
      </c>
      <c r="D3" s="1"/>
    </row>
    <row r="4" spans="1:6" ht="14.25" customHeight="1" x14ac:dyDescent="0.25">
      <c r="A4" s="1" t="s">
        <v>44</v>
      </c>
      <c r="B4" s="1">
        <v>3</v>
      </c>
      <c r="C4" s="1">
        <v>2</v>
      </c>
      <c r="D4" s="1"/>
    </row>
    <row r="5" spans="1:6" ht="14.25" customHeight="1" x14ac:dyDescent="0.25">
      <c r="A5" s="1"/>
    </row>
    <row r="6" spans="1:6" ht="14.25" customHeight="1" x14ac:dyDescent="0.25">
      <c r="A6" s="1" t="s">
        <v>10</v>
      </c>
      <c r="B6" s="1"/>
    </row>
    <row r="7" spans="1:6" ht="14.25" customHeight="1" x14ac:dyDescent="0.25">
      <c r="A7" s="1" t="s">
        <v>45</v>
      </c>
      <c r="B7" s="1">
        <v>2</v>
      </c>
      <c r="C7" s="1">
        <v>1</v>
      </c>
      <c r="D7" s="1">
        <f>SUMPRODUCT(B3:C3,B7:C7)</f>
        <v>100</v>
      </c>
      <c r="E7" s="1" t="s">
        <v>30</v>
      </c>
      <c r="F7" s="1">
        <v>100</v>
      </c>
    </row>
    <row r="8" spans="1:6" ht="14.25" customHeight="1" x14ac:dyDescent="0.25">
      <c r="A8" s="1" t="s">
        <v>46</v>
      </c>
      <c r="B8" s="1">
        <v>1</v>
      </c>
      <c r="C8" s="1">
        <v>1</v>
      </c>
      <c r="D8" s="1">
        <f>SUMPRODUCT(B3:C3,B8:C8)</f>
        <v>80</v>
      </c>
      <c r="E8" s="1" t="s">
        <v>30</v>
      </c>
      <c r="F8" s="1">
        <v>80</v>
      </c>
    </row>
    <row r="9" spans="1:6" ht="14.25" customHeight="1" x14ac:dyDescent="0.25">
      <c r="A9" s="1" t="s">
        <v>40</v>
      </c>
      <c r="B9" s="1">
        <v>1</v>
      </c>
      <c r="C9" s="1"/>
      <c r="D9" s="1">
        <f>B3*B9</f>
        <v>20</v>
      </c>
      <c r="E9" s="1" t="s">
        <v>30</v>
      </c>
      <c r="F9" s="1">
        <v>40</v>
      </c>
    </row>
    <row r="10" spans="1:6" ht="14.25" customHeight="1" x14ac:dyDescent="0.2"/>
    <row r="11" spans="1:6" ht="15" customHeight="1" x14ac:dyDescent="0.2"/>
    <row r="12" spans="1:6" ht="15" customHeight="1" x14ac:dyDescent="0.2"/>
    <row r="13" spans="1:6" ht="15" customHeight="1" x14ac:dyDescent="0.2"/>
    <row r="14" spans="1:6" ht="15" customHeight="1" x14ac:dyDescent="0.2"/>
    <row r="15" spans="1:6" ht="15" customHeight="1" x14ac:dyDescent="0.2"/>
    <row r="16" spans="1:6" ht="15" customHeight="1" x14ac:dyDescent="0.2"/>
    <row r="17" ht="15" customHeight="1" x14ac:dyDescent="0.2"/>
    <row r="18" ht="15" customHeight="1" x14ac:dyDescent="0.2"/>
    <row r="19" ht="15" customHeight="1" x14ac:dyDescent="0.2"/>
    <row r="20" ht="15" customHeight="1" x14ac:dyDescent="0.2"/>
    <row r="21" ht="15" customHeight="1" x14ac:dyDescent="0.2"/>
    <row r="22" ht="15" customHeight="1" x14ac:dyDescent="0.2"/>
    <row r="23" ht="15" customHeight="1" x14ac:dyDescent="0.2"/>
    <row r="24" ht="15" customHeight="1" x14ac:dyDescent="0.2"/>
    <row r="25" ht="15" customHeight="1" x14ac:dyDescent="0.2"/>
    <row r="26" ht="15" customHeight="1" x14ac:dyDescent="0.2"/>
    <row r="27" ht="15" customHeight="1" x14ac:dyDescent="0.2"/>
    <row r="28" ht="15" customHeight="1" x14ac:dyDescent="0.2"/>
    <row r="29" ht="15" customHeight="1" x14ac:dyDescent="0.2"/>
    <row r="30" ht="15" customHeight="1" x14ac:dyDescent="0.2"/>
    <row r="31" ht="15" customHeight="1" x14ac:dyDescent="0.2"/>
    <row r="32" ht="15" customHeight="1" x14ac:dyDescent="0.2"/>
    <row r="33" ht="15" customHeight="1" x14ac:dyDescent="0.2"/>
    <row r="34" ht="15" customHeight="1" x14ac:dyDescent="0.2"/>
    <row r="35" ht="15" customHeight="1" x14ac:dyDescent="0.2"/>
    <row r="36" ht="15" customHeight="1" x14ac:dyDescent="0.2"/>
    <row r="37" ht="15" customHeight="1" x14ac:dyDescent="0.2"/>
    <row r="38" ht="15" customHeight="1" x14ac:dyDescent="0.2"/>
    <row r="39" ht="15" customHeight="1" x14ac:dyDescent="0.2"/>
    <row r="40" ht="15" customHeight="1" x14ac:dyDescent="0.2"/>
    <row r="41" ht="15" customHeight="1" x14ac:dyDescent="0.2"/>
    <row r="42" ht="15" customHeight="1" x14ac:dyDescent="0.2"/>
    <row r="43" ht="15" customHeight="1" x14ac:dyDescent="0.2"/>
    <row r="44" ht="15" customHeight="1" x14ac:dyDescent="0.2"/>
    <row r="45" ht="15" customHeight="1" x14ac:dyDescent="0.2"/>
    <row r="46" ht="15" customHeight="1" x14ac:dyDescent="0.2"/>
    <row r="47" ht="15" customHeight="1" x14ac:dyDescent="0.2"/>
    <row r="48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  <row r="56" ht="15" customHeight="1" x14ac:dyDescent="0.2"/>
    <row r="57" ht="15" customHeight="1" x14ac:dyDescent="0.2"/>
    <row r="58" ht="15" customHeight="1" x14ac:dyDescent="0.2"/>
    <row r="59" ht="15" customHeight="1" x14ac:dyDescent="0.2"/>
    <row r="60" ht="15" customHeight="1" x14ac:dyDescent="0.2"/>
    <row r="61" ht="15" customHeight="1" x14ac:dyDescent="0.2"/>
    <row r="62" ht="15" customHeight="1" x14ac:dyDescent="0.2"/>
    <row r="63" ht="15" customHeight="1" x14ac:dyDescent="0.2"/>
    <row r="64" ht="15" customHeight="1" x14ac:dyDescent="0.2"/>
  </sheetData>
  <sheetProtection selectLockedCells="1" selectUnlockedCells="1"/>
  <pageMargins left="0.7006944444444444" right="0.7006944444444444" top="1.5395833333333333" bottom="1.5395833333333333" header="0.75208333333333333" footer="0.75208333333333333"/>
  <pageSetup paperSize="9" orientation="portrait" useFirstPageNumber="1" horizontalDpi="300" verticalDpi="300"/>
  <headerFooter scaleWithDoc="0"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45A14-8E60-45AB-B0DB-5BF2CD32C0C5}">
  <dimension ref="A1:J14"/>
  <sheetViews>
    <sheetView showGridLines="0" workbookViewId="0">
      <selection sqref="A1:A3"/>
    </sheetView>
  </sheetViews>
  <sheetFormatPr baseColWidth="10" defaultRowHeight="14.25" x14ac:dyDescent="0.2"/>
  <cols>
    <col min="1" max="1" width="2.125" customWidth="1"/>
    <col min="2" max="2" width="6" bestFit="1" customWidth="1"/>
    <col min="3" max="3" width="8" bestFit="1" customWidth="1"/>
    <col min="4" max="4" width="5.375" bestFit="1" customWidth="1"/>
    <col min="5" max="5" width="2.125" customWidth="1"/>
    <col min="6" max="6" width="7.375" bestFit="1" customWidth="1"/>
    <col min="7" max="7" width="9.875" bestFit="1" customWidth="1"/>
    <col min="8" max="8" width="2.125" customWidth="1"/>
    <col min="9" max="9" width="8.625" bestFit="1" customWidth="1"/>
    <col min="10" max="10" width="9.875" bestFit="1" customWidth="1"/>
  </cols>
  <sheetData>
    <row r="1" spans="1:10" ht="15" x14ac:dyDescent="0.25">
      <c r="A1" s="2" t="s">
        <v>221</v>
      </c>
    </row>
    <row r="2" spans="1:10" ht="15" x14ac:dyDescent="0.25">
      <c r="A2" s="2" t="s">
        <v>228</v>
      </c>
    </row>
    <row r="3" spans="1:10" ht="15" x14ac:dyDescent="0.25">
      <c r="A3" s="2" t="s">
        <v>229</v>
      </c>
    </row>
    <row r="5" spans="1:10" ht="15" thickBot="1" x14ac:dyDescent="0.25"/>
    <row r="6" spans="1:10" ht="15" x14ac:dyDescent="0.25">
      <c r="B6" s="5"/>
      <c r="C6" s="5" t="s">
        <v>0</v>
      </c>
      <c r="D6" s="5"/>
    </row>
    <row r="7" spans="1:10" ht="15.75" thickBot="1" x14ac:dyDescent="0.3">
      <c r="B7" s="6" t="s">
        <v>1</v>
      </c>
      <c r="C7" s="6" t="s">
        <v>2</v>
      </c>
      <c r="D7" s="6" t="s">
        <v>3</v>
      </c>
    </row>
    <row r="8" spans="1:10" ht="15" thickBot="1" x14ac:dyDescent="0.25">
      <c r="B8" s="4" t="s">
        <v>234</v>
      </c>
      <c r="C8" s="4" t="s">
        <v>235</v>
      </c>
      <c r="D8" s="4">
        <v>180</v>
      </c>
    </row>
    <row r="10" spans="1:10" ht="15" thickBot="1" x14ac:dyDescent="0.25"/>
    <row r="11" spans="1:10" ht="15" x14ac:dyDescent="0.25">
      <c r="B11" s="5"/>
      <c r="C11" s="5" t="s">
        <v>222</v>
      </c>
      <c r="D11" s="5"/>
      <c r="F11" s="5" t="s">
        <v>223</v>
      </c>
      <c r="G11" s="5" t="s">
        <v>0</v>
      </c>
      <c r="I11" s="5" t="s">
        <v>226</v>
      </c>
      <c r="J11" s="5" t="s">
        <v>0</v>
      </c>
    </row>
    <row r="12" spans="1:10" ht="15.75" thickBot="1" x14ac:dyDescent="0.3">
      <c r="B12" s="6" t="s">
        <v>1</v>
      </c>
      <c r="C12" s="6" t="s">
        <v>2</v>
      </c>
      <c r="D12" s="6" t="s">
        <v>3</v>
      </c>
      <c r="F12" s="6" t="s">
        <v>224</v>
      </c>
      <c r="G12" s="6" t="s">
        <v>225</v>
      </c>
      <c r="I12" s="6" t="s">
        <v>224</v>
      </c>
      <c r="J12" s="6" t="s">
        <v>225</v>
      </c>
    </row>
    <row r="13" spans="1:10" x14ac:dyDescent="0.2">
      <c r="B13" s="3" t="s">
        <v>32</v>
      </c>
      <c r="C13" s="3" t="s">
        <v>33</v>
      </c>
      <c r="D13" s="3">
        <v>20</v>
      </c>
      <c r="F13" s="3">
        <v>0</v>
      </c>
      <c r="G13" s="3">
        <v>120</v>
      </c>
      <c r="I13" s="3">
        <v>20</v>
      </c>
      <c r="J13" s="3">
        <v>180</v>
      </c>
    </row>
    <row r="14" spans="1:10" ht="15" thickBot="1" x14ac:dyDescent="0.25">
      <c r="B14" s="4" t="s">
        <v>34</v>
      </c>
      <c r="C14" s="4" t="s">
        <v>35</v>
      </c>
      <c r="D14" s="4">
        <v>60</v>
      </c>
      <c r="F14" s="4">
        <v>0</v>
      </c>
      <c r="G14" s="4">
        <v>60</v>
      </c>
      <c r="I14" s="4">
        <v>60</v>
      </c>
      <c r="J14" s="4">
        <v>180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08E13-1D04-4A53-81E1-A1FB5B8C4DF0}">
  <dimension ref="A1:G29"/>
  <sheetViews>
    <sheetView showGridLines="0" workbookViewId="0"/>
  </sheetViews>
  <sheetFormatPr baseColWidth="10" defaultRowHeight="14.25" x14ac:dyDescent="0.2"/>
  <cols>
    <col min="1" max="1" width="2.125" customWidth="1"/>
    <col min="2" max="2" width="6" bestFit="1" customWidth="1"/>
    <col min="3" max="3" width="12.625" bestFit="1" customWidth="1"/>
    <col min="4" max="4" width="15.375" bestFit="1" customWidth="1"/>
    <col min="5" max="5" width="11.625" bestFit="1" customWidth="1"/>
    <col min="6" max="6" width="11.75" bestFit="1" customWidth="1"/>
    <col min="7" max="7" width="7.75" bestFit="1" customWidth="1"/>
  </cols>
  <sheetData>
    <row r="1" spans="1:5" ht="15" x14ac:dyDescent="0.25">
      <c r="A1" s="2" t="s">
        <v>197</v>
      </c>
    </row>
    <row r="2" spans="1:5" ht="15" x14ac:dyDescent="0.25">
      <c r="A2" s="2" t="s">
        <v>228</v>
      </c>
    </row>
    <row r="3" spans="1:5" ht="15" x14ac:dyDescent="0.25">
      <c r="A3" s="2" t="s">
        <v>229</v>
      </c>
    </row>
    <row r="4" spans="1:5" ht="15" x14ac:dyDescent="0.25">
      <c r="A4" s="2" t="s">
        <v>200</v>
      </c>
    </row>
    <row r="5" spans="1:5" ht="15" x14ac:dyDescent="0.25">
      <c r="A5" s="2" t="s">
        <v>201</v>
      </c>
    </row>
    <row r="6" spans="1:5" ht="15" x14ac:dyDescent="0.25">
      <c r="A6" s="2"/>
      <c r="B6" t="s">
        <v>202</v>
      </c>
    </row>
    <row r="7" spans="1:5" ht="15" x14ac:dyDescent="0.25">
      <c r="A7" s="2"/>
      <c r="B7" t="s">
        <v>230</v>
      </c>
    </row>
    <row r="8" spans="1:5" ht="15" x14ac:dyDescent="0.25">
      <c r="A8" s="2"/>
      <c r="B8" t="s">
        <v>231</v>
      </c>
    </row>
    <row r="9" spans="1:5" ht="15" x14ac:dyDescent="0.25">
      <c r="A9" s="2" t="s">
        <v>205</v>
      </c>
    </row>
    <row r="10" spans="1:5" x14ac:dyDescent="0.2">
      <c r="B10" t="s">
        <v>232</v>
      </c>
    </row>
    <row r="11" spans="1:5" x14ac:dyDescent="0.2">
      <c r="B11" t="s">
        <v>207</v>
      </c>
    </row>
    <row r="14" spans="1:5" ht="15" thickBot="1" x14ac:dyDescent="0.25">
      <c r="A14" t="s">
        <v>233</v>
      </c>
    </row>
    <row r="15" spans="1:5" ht="15.75" thickBot="1" x14ac:dyDescent="0.3">
      <c r="B15" s="9" t="s">
        <v>1</v>
      </c>
      <c r="C15" s="9" t="s">
        <v>2</v>
      </c>
      <c r="D15" s="9" t="s">
        <v>209</v>
      </c>
      <c r="E15" s="9" t="s">
        <v>210</v>
      </c>
    </row>
    <row r="16" spans="1:5" ht="15" thickBot="1" x14ac:dyDescent="0.25">
      <c r="B16" s="4" t="s">
        <v>234</v>
      </c>
      <c r="C16" s="4" t="s">
        <v>235</v>
      </c>
      <c r="D16" s="4">
        <v>180</v>
      </c>
      <c r="E16" s="4">
        <v>180</v>
      </c>
    </row>
    <row r="19" spans="1:7" ht="15" thickBot="1" x14ac:dyDescent="0.25">
      <c r="A19" t="s">
        <v>9</v>
      </c>
    </row>
    <row r="20" spans="1:7" ht="15.75" thickBot="1" x14ac:dyDescent="0.3">
      <c r="B20" s="9" t="s">
        <v>1</v>
      </c>
      <c r="C20" s="9" t="s">
        <v>2</v>
      </c>
      <c r="D20" s="9" t="s">
        <v>209</v>
      </c>
      <c r="E20" s="9" t="s">
        <v>210</v>
      </c>
      <c r="F20" s="9" t="s">
        <v>211</v>
      </c>
    </row>
    <row r="21" spans="1:7" x14ac:dyDescent="0.2">
      <c r="B21" s="3" t="s">
        <v>32</v>
      </c>
      <c r="C21" s="3" t="s">
        <v>33</v>
      </c>
      <c r="D21" s="3">
        <v>20</v>
      </c>
      <c r="E21" s="3">
        <v>20</v>
      </c>
      <c r="F21" s="3" t="s">
        <v>217</v>
      </c>
    </row>
    <row r="22" spans="1:7" ht="15" thickBot="1" x14ac:dyDescent="0.25">
      <c r="B22" s="4" t="s">
        <v>34</v>
      </c>
      <c r="C22" s="4" t="s">
        <v>35</v>
      </c>
      <c r="D22" s="4">
        <v>60</v>
      </c>
      <c r="E22" s="4">
        <v>60</v>
      </c>
      <c r="F22" s="4" t="s">
        <v>217</v>
      </c>
    </row>
    <row r="25" spans="1:7" ht="15" thickBot="1" x14ac:dyDescent="0.25">
      <c r="A25" t="s">
        <v>10</v>
      </c>
    </row>
    <row r="26" spans="1:7" ht="15.75" thickBot="1" x14ac:dyDescent="0.3">
      <c r="B26" s="9" t="s">
        <v>1</v>
      </c>
      <c r="C26" s="9" t="s">
        <v>2</v>
      </c>
      <c r="D26" s="9" t="s">
        <v>212</v>
      </c>
      <c r="E26" s="9" t="s">
        <v>213</v>
      </c>
      <c r="F26" s="9" t="s">
        <v>214</v>
      </c>
      <c r="G26" s="9" t="s">
        <v>215</v>
      </c>
    </row>
    <row r="27" spans="1:7" x14ac:dyDescent="0.2">
      <c r="B27" s="3" t="s">
        <v>11</v>
      </c>
      <c r="C27" s="3" t="s">
        <v>40</v>
      </c>
      <c r="D27" s="3">
        <v>20</v>
      </c>
      <c r="E27" s="3" t="s">
        <v>218</v>
      </c>
      <c r="F27" s="3" t="s">
        <v>236</v>
      </c>
      <c r="G27" s="3">
        <v>20</v>
      </c>
    </row>
    <row r="28" spans="1:7" x14ac:dyDescent="0.2">
      <c r="B28" s="3" t="s">
        <v>36</v>
      </c>
      <c r="C28" s="3" t="s">
        <v>37</v>
      </c>
      <c r="D28" s="3">
        <v>100</v>
      </c>
      <c r="E28" s="3" t="s">
        <v>237</v>
      </c>
      <c r="F28" s="3" t="s">
        <v>219</v>
      </c>
      <c r="G28" s="3">
        <v>0</v>
      </c>
    </row>
    <row r="29" spans="1:7" ht="15" thickBot="1" x14ac:dyDescent="0.25">
      <c r="B29" s="4" t="s">
        <v>38</v>
      </c>
      <c r="C29" s="4" t="s">
        <v>39</v>
      </c>
      <c r="D29" s="4">
        <v>80</v>
      </c>
      <c r="E29" s="4" t="s">
        <v>238</v>
      </c>
      <c r="F29" s="4" t="s">
        <v>219</v>
      </c>
      <c r="G29" s="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92C6B-701C-49F0-BDAD-ED6C007CDE71}">
  <dimension ref="A1:H17"/>
  <sheetViews>
    <sheetView showGridLines="0" workbookViewId="0">
      <selection activeCell="G15" sqref="G15"/>
    </sheetView>
  </sheetViews>
  <sheetFormatPr baseColWidth="10" defaultRowHeight="14.25" x14ac:dyDescent="0.2"/>
  <cols>
    <col min="1" max="1" width="2.125" customWidth="1"/>
    <col min="2" max="2" width="6" bestFit="1" customWidth="1"/>
    <col min="3" max="3" width="12.625" bestFit="1" customWidth="1"/>
    <col min="4" max="4" width="5.375" bestFit="1" customWidth="1"/>
    <col min="5" max="5" width="9.375" bestFit="1" customWidth="1"/>
    <col min="6" max="6" width="13.125" bestFit="1" customWidth="1"/>
    <col min="7" max="8" width="10.25" bestFit="1" customWidth="1"/>
  </cols>
  <sheetData>
    <row r="1" spans="1:8" ht="15" x14ac:dyDescent="0.25">
      <c r="A1" s="2" t="s">
        <v>149</v>
      </c>
    </row>
    <row r="2" spans="1:8" ht="15" x14ac:dyDescent="0.25">
      <c r="A2" s="2" t="s">
        <v>180</v>
      </c>
    </row>
    <row r="3" spans="1:8" ht="15" x14ac:dyDescent="0.25">
      <c r="A3" s="2" t="s">
        <v>181</v>
      </c>
    </row>
    <row r="6" spans="1:8" ht="15" thickBot="1" x14ac:dyDescent="0.25">
      <c r="A6" t="s">
        <v>9</v>
      </c>
    </row>
    <row r="7" spans="1:8" ht="15" x14ac:dyDescent="0.25">
      <c r="B7" s="5"/>
      <c r="C7" s="5"/>
      <c r="D7" s="5" t="s">
        <v>13</v>
      </c>
      <c r="E7" s="5" t="s">
        <v>14</v>
      </c>
      <c r="F7" s="5" t="s">
        <v>0</v>
      </c>
      <c r="G7" s="5" t="s">
        <v>15</v>
      </c>
      <c r="H7" s="5" t="s">
        <v>15</v>
      </c>
    </row>
    <row r="8" spans="1:8" ht="15.75" thickBot="1" x14ac:dyDescent="0.3">
      <c r="B8" s="6" t="s">
        <v>1</v>
      </c>
      <c r="C8" s="6" t="s">
        <v>2</v>
      </c>
      <c r="D8" s="6" t="s">
        <v>3</v>
      </c>
      <c r="E8" s="6" t="s">
        <v>16</v>
      </c>
      <c r="F8" s="6" t="s">
        <v>17</v>
      </c>
      <c r="G8" s="6" t="s">
        <v>150</v>
      </c>
      <c r="H8" s="6" t="s">
        <v>151</v>
      </c>
    </row>
    <row r="9" spans="1:8" x14ac:dyDescent="0.2">
      <c r="B9" s="3" t="s">
        <v>32</v>
      </c>
      <c r="C9" s="3" t="s">
        <v>33</v>
      </c>
      <c r="D9" s="3">
        <v>20</v>
      </c>
      <c r="E9" s="3">
        <v>0</v>
      </c>
      <c r="F9" s="3">
        <v>3</v>
      </c>
      <c r="G9" s="3">
        <v>1</v>
      </c>
      <c r="H9" s="3">
        <v>1</v>
      </c>
    </row>
    <row r="10" spans="1:8" ht="15" thickBot="1" x14ac:dyDescent="0.25">
      <c r="B10" s="4" t="s">
        <v>34</v>
      </c>
      <c r="C10" s="4" t="s">
        <v>35</v>
      </c>
      <c r="D10" s="4">
        <v>60</v>
      </c>
      <c r="E10" s="4">
        <v>0</v>
      </c>
      <c r="F10" s="4">
        <v>2</v>
      </c>
      <c r="G10" s="4">
        <v>1</v>
      </c>
      <c r="H10" s="4">
        <v>0.5</v>
      </c>
    </row>
    <row r="12" spans="1:8" ht="15" thickBot="1" x14ac:dyDescent="0.25">
      <c r="A12" t="s">
        <v>10</v>
      </c>
    </row>
    <row r="13" spans="1:8" ht="15" x14ac:dyDescent="0.25">
      <c r="B13" s="5"/>
      <c r="C13" s="5"/>
      <c r="D13" s="5" t="s">
        <v>13</v>
      </c>
      <c r="E13" s="5" t="s">
        <v>18</v>
      </c>
      <c r="F13" s="5" t="s">
        <v>19</v>
      </c>
      <c r="G13" s="5" t="s">
        <v>15</v>
      </c>
      <c r="H13" s="5" t="s">
        <v>15</v>
      </c>
    </row>
    <row r="14" spans="1:8" ht="15.75" thickBot="1" x14ac:dyDescent="0.3">
      <c r="B14" s="6" t="s">
        <v>1</v>
      </c>
      <c r="C14" s="6" t="s">
        <v>2</v>
      </c>
      <c r="D14" s="6" t="s">
        <v>3</v>
      </c>
      <c r="E14" s="6" t="s">
        <v>20</v>
      </c>
      <c r="F14" s="6" t="s">
        <v>21</v>
      </c>
      <c r="G14" s="6" t="s">
        <v>150</v>
      </c>
      <c r="H14" s="6" t="s">
        <v>151</v>
      </c>
    </row>
    <row r="15" spans="1:8" x14ac:dyDescent="0.2">
      <c r="B15" s="3" t="s">
        <v>11</v>
      </c>
      <c r="C15" s="3" t="s">
        <v>40</v>
      </c>
      <c r="D15" s="3">
        <v>20</v>
      </c>
      <c r="E15" s="3">
        <v>0</v>
      </c>
      <c r="F15" s="3">
        <v>40</v>
      </c>
      <c r="G15" s="10">
        <v>1E+30</v>
      </c>
      <c r="H15" s="3">
        <v>20</v>
      </c>
    </row>
    <row r="16" spans="1:8" x14ac:dyDescent="0.2">
      <c r="B16" s="3" t="s">
        <v>36</v>
      </c>
      <c r="C16" s="3" t="s">
        <v>37</v>
      </c>
      <c r="D16" s="3">
        <v>100</v>
      </c>
      <c r="E16" s="3">
        <v>1</v>
      </c>
      <c r="F16" s="3">
        <v>100</v>
      </c>
      <c r="G16" s="3">
        <v>20</v>
      </c>
      <c r="H16" s="3">
        <v>20</v>
      </c>
    </row>
    <row r="17" spans="2:8" ht="15" thickBot="1" x14ac:dyDescent="0.25">
      <c r="B17" s="4" t="s">
        <v>38</v>
      </c>
      <c r="C17" s="4" t="s">
        <v>39</v>
      </c>
      <c r="D17" s="4">
        <v>80</v>
      </c>
      <c r="E17" s="4">
        <v>1</v>
      </c>
      <c r="F17" s="4">
        <v>80</v>
      </c>
      <c r="G17" s="4">
        <v>20</v>
      </c>
      <c r="H17" s="4">
        <v>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52570-8FE8-41BA-8CC2-65C6C486398F}">
  <dimension ref="A1:J64"/>
  <sheetViews>
    <sheetView workbookViewId="0">
      <selection sqref="A1:M15"/>
    </sheetView>
  </sheetViews>
  <sheetFormatPr baseColWidth="10" defaultColWidth="9.125" defaultRowHeight="14.25" x14ac:dyDescent="0.2"/>
  <cols>
    <col min="1" max="1" width="18.125" bestFit="1" customWidth="1"/>
    <col min="2" max="3" width="10.5" bestFit="1" customWidth="1"/>
    <col min="4" max="4" width="2.625" bestFit="1" customWidth="1"/>
    <col min="5" max="5" width="12.75" bestFit="1" customWidth="1"/>
    <col min="6" max="7" width="2.625" bestFit="1" customWidth="1"/>
    <col min="9" max="9" width="2.625" bestFit="1" customWidth="1"/>
    <col min="10" max="10" width="3.5" bestFit="1" customWidth="1"/>
  </cols>
  <sheetData>
    <row r="1" spans="1:10" ht="14.25" customHeight="1" x14ac:dyDescent="0.25">
      <c r="A1" s="1" t="s">
        <v>63</v>
      </c>
      <c r="B1" s="1">
        <f>SUMPRODUCT(B3:G3,B4:G4)</f>
        <v>7.2727272727272734</v>
      </c>
    </row>
    <row r="2" spans="1:10" ht="14.25" customHeight="1" x14ac:dyDescent="0.25">
      <c r="A2" s="1" t="s">
        <v>64</v>
      </c>
      <c r="B2" s="1" t="s">
        <v>65</v>
      </c>
      <c r="C2" s="1" t="s">
        <v>66</v>
      </c>
      <c r="D2" s="1" t="s">
        <v>67</v>
      </c>
      <c r="E2" s="1" t="s">
        <v>68</v>
      </c>
      <c r="F2" s="1" t="s">
        <v>69</v>
      </c>
      <c r="G2" s="1" t="s">
        <v>70</v>
      </c>
    </row>
    <row r="3" spans="1:10" ht="14.25" customHeight="1" x14ac:dyDescent="0.25">
      <c r="A3" s="1" t="s">
        <v>43</v>
      </c>
      <c r="B3" s="1">
        <v>0.90909090909090906</v>
      </c>
      <c r="C3" s="1">
        <v>1.8181818181818183</v>
      </c>
      <c r="D3">
        <v>0</v>
      </c>
      <c r="E3">
        <v>0</v>
      </c>
      <c r="F3">
        <v>0</v>
      </c>
      <c r="G3">
        <v>0</v>
      </c>
    </row>
    <row r="4" spans="1:10" ht="14.25" customHeight="1" x14ac:dyDescent="0.25">
      <c r="A4" s="1" t="s">
        <v>71</v>
      </c>
      <c r="B4" s="1">
        <v>2</v>
      </c>
      <c r="C4" s="1">
        <v>3</v>
      </c>
      <c r="D4" s="1">
        <v>5</v>
      </c>
      <c r="E4" s="1">
        <v>6</v>
      </c>
      <c r="F4" s="1">
        <v>8</v>
      </c>
      <c r="G4" s="1">
        <v>8</v>
      </c>
    </row>
    <row r="5" spans="1:10" ht="14.25" customHeight="1" x14ac:dyDescent="0.2"/>
    <row r="6" spans="1:10" ht="14.25" customHeight="1" x14ac:dyDescent="0.25">
      <c r="A6" s="1" t="s">
        <v>27</v>
      </c>
    </row>
    <row r="7" spans="1:10" ht="14.25" customHeight="1" x14ac:dyDescent="0.25">
      <c r="A7" s="1" t="s">
        <v>72</v>
      </c>
      <c r="B7" s="1">
        <v>20</v>
      </c>
      <c r="C7" s="1">
        <v>30</v>
      </c>
      <c r="D7" s="1">
        <v>40</v>
      </c>
      <c r="E7" s="1">
        <v>40</v>
      </c>
      <c r="F7" s="1">
        <v>45</v>
      </c>
      <c r="G7" s="1">
        <v>30</v>
      </c>
      <c r="H7" s="1">
        <f>SUMPRODUCT(B3:G3,B7:G7)</f>
        <v>72.72727272727272</v>
      </c>
      <c r="I7" s="1" t="s">
        <v>73</v>
      </c>
      <c r="J7" s="1">
        <v>70</v>
      </c>
    </row>
    <row r="8" spans="1:10" ht="14.25" customHeight="1" x14ac:dyDescent="0.25">
      <c r="A8" s="1" t="s">
        <v>74</v>
      </c>
      <c r="B8" s="1">
        <v>50</v>
      </c>
      <c r="C8" s="1">
        <v>30</v>
      </c>
      <c r="D8" s="1">
        <v>20</v>
      </c>
      <c r="E8" s="1">
        <v>25</v>
      </c>
      <c r="F8" s="1">
        <v>50</v>
      </c>
      <c r="G8" s="1">
        <v>20</v>
      </c>
      <c r="H8" s="1">
        <f>SUMPRODUCT(B3:G3,B8:G8)</f>
        <v>100</v>
      </c>
      <c r="I8" s="1" t="s">
        <v>73</v>
      </c>
      <c r="J8" s="1">
        <v>100</v>
      </c>
    </row>
    <row r="9" spans="1:10" ht="14.25" customHeight="1" x14ac:dyDescent="0.25">
      <c r="A9" s="1" t="s">
        <v>75</v>
      </c>
      <c r="B9" s="1">
        <v>4</v>
      </c>
      <c r="C9" s="1">
        <v>9</v>
      </c>
      <c r="D9" s="1">
        <v>11</v>
      </c>
      <c r="E9" s="1">
        <v>10</v>
      </c>
      <c r="F9" s="1">
        <v>9</v>
      </c>
      <c r="G9" s="1">
        <v>10</v>
      </c>
      <c r="H9" s="1">
        <f>SUMPRODUCT(B3:G3,B9:G9)</f>
        <v>20.000000000000004</v>
      </c>
      <c r="I9" s="1" t="s">
        <v>73</v>
      </c>
      <c r="J9" s="1">
        <v>20</v>
      </c>
    </row>
    <row r="10" spans="1:10" ht="14.25" customHeight="1" x14ac:dyDescent="0.2"/>
    <row r="11" spans="1:10" ht="15" customHeight="1" x14ac:dyDescent="0.2"/>
    <row r="12" spans="1:10" ht="15" customHeight="1" x14ac:dyDescent="0.2"/>
    <row r="13" spans="1:10" ht="15" customHeight="1" x14ac:dyDescent="0.2"/>
    <row r="14" spans="1:10" ht="15" customHeight="1" x14ac:dyDescent="0.2"/>
    <row r="15" spans="1:10" ht="15" customHeight="1" x14ac:dyDescent="0.2"/>
    <row r="16" spans="1:10" ht="15" customHeight="1" x14ac:dyDescent="0.2"/>
    <row r="17" ht="15" customHeight="1" x14ac:dyDescent="0.2"/>
    <row r="18" ht="15" customHeight="1" x14ac:dyDescent="0.2"/>
    <row r="19" ht="15" customHeight="1" x14ac:dyDescent="0.2"/>
    <row r="20" ht="15" customHeight="1" x14ac:dyDescent="0.2"/>
    <row r="21" ht="15" customHeight="1" x14ac:dyDescent="0.2"/>
    <row r="22" ht="15" customHeight="1" x14ac:dyDescent="0.2"/>
    <row r="23" ht="15" customHeight="1" x14ac:dyDescent="0.2"/>
    <row r="24" ht="15" customHeight="1" x14ac:dyDescent="0.2"/>
    <row r="25" ht="15" customHeight="1" x14ac:dyDescent="0.2"/>
    <row r="26" ht="15" customHeight="1" x14ac:dyDescent="0.2"/>
    <row r="27" ht="15" customHeight="1" x14ac:dyDescent="0.2"/>
    <row r="28" ht="15" customHeight="1" x14ac:dyDescent="0.2"/>
    <row r="29" ht="15" customHeight="1" x14ac:dyDescent="0.2"/>
    <row r="30" ht="15" customHeight="1" x14ac:dyDescent="0.2"/>
    <row r="31" ht="15" customHeight="1" x14ac:dyDescent="0.2"/>
    <row r="32" ht="15" customHeight="1" x14ac:dyDescent="0.2"/>
    <row r="33" ht="15" customHeight="1" x14ac:dyDescent="0.2"/>
    <row r="34" ht="15" customHeight="1" x14ac:dyDescent="0.2"/>
    <row r="35" ht="15" customHeight="1" x14ac:dyDescent="0.2"/>
    <row r="36" ht="15" customHeight="1" x14ac:dyDescent="0.2"/>
    <row r="37" ht="15" customHeight="1" x14ac:dyDescent="0.2"/>
    <row r="38" ht="15" customHeight="1" x14ac:dyDescent="0.2"/>
    <row r="39" ht="15" customHeight="1" x14ac:dyDescent="0.2"/>
    <row r="40" ht="15" customHeight="1" x14ac:dyDescent="0.2"/>
    <row r="41" ht="15" customHeight="1" x14ac:dyDescent="0.2"/>
    <row r="42" ht="15" customHeight="1" x14ac:dyDescent="0.2"/>
    <row r="43" ht="15" customHeight="1" x14ac:dyDescent="0.2"/>
    <row r="44" ht="15" customHeight="1" x14ac:dyDescent="0.2"/>
    <row r="45" ht="15" customHeight="1" x14ac:dyDescent="0.2"/>
    <row r="46" ht="15" customHeight="1" x14ac:dyDescent="0.2"/>
    <row r="47" ht="15" customHeight="1" x14ac:dyDescent="0.2"/>
    <row r="48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  <row r="56" ht="15" customHeight="1" x14ac:dyDescent="0.2"/>
    <row r="57" ht="15" customHeight="1" x14ac:dyDescent="0.2"/>
    <row r="58" ht="15" customHeight="1" x14ac:dyDescent="0.2"/>
    <row r="59" ht="15" customHeight="1" x14ac:dyDescent="0.2"/>
    <row r="60" ht="15" customHeight="1" x14ac:dyDescent="0.2"/>
    <row r="61" ht="15" customHeight="1" x14ac:dyDescent="0.2"/>
    <row r="62" ht="15" customHeight="1" x14ac:dyDescent="0.2"/>
    <row r="63" ht="15" customHeight="1" x14ac:dyDescent="0.2"/>
    <row r="64" ht="15" customHeight="1" x14ac:dyDescent="0.2"/>
  </sheetData>
  <sheetProtection selectLockedCells="1" selectUnlockedCells="1"/>
  <pageMargins left="0.7006944444444444" right="0.7006944444444444" top="1.5395833333333333" bottom="1.5395833333333333" header="0.75208333333333333" footer="0.75208333333333333"/>
  <pageSetup paperSize="9" orientation="portrait" useFirstPageNumber="1" horizontalDpi="300" verticalDpi="300"/>
  <headerFooter scaleWithDoc="0"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90E62-9021-48B9-9009-8B76646C43F5}">
  <dimension ref="A1:J18"/>
  <sheetViews>
    <sheetView showGridLines="0" workbookViewId="0">
      <selection sqref="A1:M15"/>
    </sheetView>
  </sheetViews>
  <sheetFormatPr baseColWidth="10" defaultRowHeight="14.25" x14ac:dyDescent="0.2"/>
  <cols>
    <col min="1" max="1" width="2.125" customWidth="1"/>
    <col min="2" max="2" width="6" bestFit="1" customWidth="1"/>
    <col min="3" max="3" width="8" bestFit="1" customWidth="1"/>
    <col min="4" max="4" width="5.375" bestFit="1" customWidth="1"/>
    <col min="5" max="5" width="2.125" customWidth="1"/>
    <col min="6" max="6" width="7.375" bestFit="1" customWidth="1"/>
    <col min="7" max="7" width="9.875" bestFit="1" customWidth="1"/>
    <col min="8" max="8" width="2.125" customWidth="1"/>
    <col min="9" max="9" width="8.625" bestFit="1" customWidth="1"/>
    <col min="10" max="10" width="9.875" bestFit="1" customWidth="1"/>
  </cols>
  <sheetData>
    <row r="1" spans="1:10" ht="15" x14ac:dyDescent="0.25">
      <c r="A1" s="2" t="s">
        <v>221</v>
      </c>
    </row>
    <row r="2" spans="1:10" ht="15" x14ac:dyDescent="0.25">
      <c r="A2" s="2" t="s">
        <v>239</v>
      </c>
    </row>
    <row r="3" spans="1:10" ht="15" x14ac:dyDescent="0.25">
      <c r="A3" s="2" t="s">
        <v>240</v>
      </c>
    </row>
    <row r="5" spans="1:10" ht="15" thickBot="1" x14ac:dyDescent="0.25"/>
    <row r="6" spans="1:10" ht="15" x14ac:dyDescent="0.25">
      <c r="B6" s="5"/>
      <c r="C6" s="5" t="s">
        <v>0</v>
      </c>
      <c r="D6" s="5"/>
    </row>
    <row r="7" spans="1:10" ht="15.75" thickBot="1" x14ac:dyDescent="0.3">
      <c r="B7" s="6" t="s">
        <v>1</v>
      </c>
      <c r="C7" s="6" t="s">
        <v>2</v>
      </c>
      <c r="D7" s="6" t="s">
        <v>3</v>
      </c>
    </row>
    <row r="8" spans="1:10" ht="15" thickBot="1" x14ac:dyDescent="0.25">
      <c r="B8" s="4" t="s">
        <v>234</v>
      </c>
      <c r="C8" s="4" t="s">
        <v>243</v>
      </c>
      <c r="D8" s="4">
        <v>7.2727272727272734</v>
      </c>
    </row>
    <row r="10" spans="1:10" ht="15" thickBot="1" x14ac:dyDescent="0.25"/>
    <row r="11" spans="1:10" ht="15" x14ac:dyDescent="0.25">
      <c r="B11" s="5"/>
      <c r="C11" s="5" t="s">
        <v>222</v>
      </c>
      <c r="D11" s="5"/>
      <c r="F11" s="5" t="s">
        <v>223</v>
      </c>
      <c r="G11" s="5" t="s">
        <v>0</v>
      </c>
      <c r="I11" s="5" t="s">
        <v>226</v>
      </c>
      <c r="J11" s="5" t="s">
        <v>0</v>
      </c>
    </row>
    <row r="12" spans="1:10" ht="15.75" thickBot="1" x14ac:dyDescent="0.3">
      <c r="B12" s="6" t="s">
        <v>1</v>
      </c>
      <c r="C12" s="6" t="s">
        <v>2</v>
      </c>
      <c r="D12" s="6" t="s">
        <v>3</v>
      </c>
      <c r="F12" s="6" t="s">
        <v>224</v>
      </c>
      <c r="G12" s="6" t="s">
        <v>225</v>
      </c>
      <c r="I12" s="6" t="s">
        <v>224</v>
      </c>
      <c r="J12" s="6" t="s">
        <v>225</v>
      </c>
    </row>
    <row r="13" spans="1:10" x14ac:dyDescent="0.2">
      <c r="B13" s="3" t="s">
        <v>32</v>
      </c>
      <c r="C13" s="3" t="s">
        <v>47</v>
      </c>
      <c r="D13" s="3">
        <v>0.90909090909090906</v>
      </c>
      <c r="F13" s="3">
        <v>0.90909090909090828</v>
      </c>
      <c r="G13" s="3">
        <v>7.2727272727272716</v>
      </c>
      <c r="I13" s="3" t="s">
        <v>227</v>
      </c>
      <c r="J13" s="3" t="s">
        <v>227</v>
      </c>
    </row>
    <row r="14" spans="1:10" x14ac:dyDescent="0.2">
      <c r="B14" s="3" t="s">
        <v>34</v>
      </c>
      <c r="C14" s="3" t="s">
        <v>48</v>
      </c>
      <c r="D14" s="3">
        <v>1.8181818181818183</v>
      </c>
      <c r="F14" s="3">
        <v>1.8181818181818181</v>
      </c>
      <c r="G14" s="3">
        <v>7.2727272727272725</v>
      </c>
      <c r="I14" s="3" t="s">
        <v>227</v>
      </c>
      <c r="J14" s="3" t="s">
        <v>227</v>
      </c>
    </row>
    <row r="15" spans="1:10" x14ac:dyDescent="0.2">
      <c r="B15" s="3" t="s">
        <v>49</v>
      </c>
      <c r="C15" s="3" t="s">
        <v>50</v>
      </c>
      <c r="D15" s="3">
        <v>0</v>
      </c>
      <c r="F15" s="3">
        <v>0</v>
      </c>
      <c r="G15" s="3">
        <v>7.2727272727272734</v>
      </c>
      <c r="I15" s="3" t="s">
        <v>227</v>
      </c>
      <c r="J15" s="3" t="s">
        <v>227</v>
      </c>
    </row>
    <row r="16" spans="1:10" x14ac:dyDescent="0.2">
      <c r="B16" s="3" t="s">
        <v>51</v>
      </c>
      <c r="C16" s="3" t="s">
        <v>52</v>
      </c>
      <c r="D16" s="3">
        <v>0</v>
      </c>
      <c r="F16" s="3">
        <v>0</v>
      </c>
      <c r="G16" s="3">
        <v>7.2727272727272734</v>
      </c>
      <c r="I16" s="3" t="s">
        <v>227</v>
      </c>
      <c r="J16" s="3" t="s">
        <v>227</v>
      </c>
    </row>
    <row r="17" spans="2:10" x14ac:dyDescent="0.2">
      <c r="B17" s="3" t="s">
        <v>53</v>
      </c>
      <c r="C17" s="3" t="s">
        <v>54</v>
      </c>
      <c r="D17" s="3">
        <v>0</v>
      </c>
      <c r="F17" s="3">
        <v>0</v>
      </c>
      <c r="G17" s="3">
        <v>7.2727272727272734</v>
      </c>
      <c r="I17" s="3" t="s">
        <v>227</v>
      </c>
      <c r="J17" s="3" t="s">
        <v>227</v>
      </c>
    </row>
    <row r="18" spans="2:10" ht="15" thickBot="1" x14ac:dyDescent="0.25">
      <c r="B18" s="4" t="s">
        <v>55</v>
      </c>
      <c r="C18" s="4" t="s">
        <v>56</v>
      </c>
      <c r="D18" s="4">
        <v>0</v>
      </c>
      <c r="F18" s="4">
        <v>0</v>
      </c>
      <c r="G18" s="4">
        <v>7.2727272727272734</v>
      </c>
      <c r="I18" s="4" t="s">
        <v>227</v>
      </c>
      <c r="J18" s="4" t="s">
        <v>227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D0D26-CFA6-441E-9FBC-A56B46FEDBA6}">
  <dimension ref="A1:G33"/>
  <sheetViews>
    <sheetView showGridLines="0" workbookViewId="0">
      <selection sqref="A1:M15"/>
    </sheetView>
  </sheetViews>
  <sheetFormatPr baseColWidth="10" defaultRowHeight="14.25" x14ac:dyDescent="0.2"/>
  <cols>
    <col min="1" max="1" width="2.125" customWidth="1"/>
    <col min="2" max="2" width="6" bestFit="1" customWidth="1"/>
    <col min="3" max="3" width="12.125" bestFit="1" customWidth="1"/>
    <col min="4" max="4" width="15.375" bestFit="1" customWidth="1"/>
    <col min="5" max="5" width="11.875" bestFit="1" customWidth="1"/>
    <col min="6" max="6" width="11.75" bestFit="1" customWidth="1"/>
    <col min="7" max="7" width="11.875" bestFit="1" customWidth="1"/>
  </cols>
  <sheetData>
    <row r="1" spans="1:5" ht="15" x14ac:dyDescent="0.25">
      <c r="A1" s="2" t="s">
        <v>197</v>
      </c>
    </row>
    <row r="2" spans="1:5" ht="15" x14ac:dyDescent="0.25">
      <c r="A2" s="2" t="s">
        <v>239</v>
      </c>
    </row>
    <row r="3" spans="1:5" ht="15" x14ac:dyDescent="0.25">
      <c r="A3" s="2" t="s">
        <v>240</v>
      </c>
    </row>
    <row r="4" spans="1:5" ht="15" x14ac:dyDescent="0.25">
      <c r="A4" s="2" t="s">
        <v>200</v>
      </c>
    </row>
    <row r="5" spans="1:5" ht="15" x14ac:dyDescent="0.25">
      <c r="A5" s="2" t="s">
        <v>201</v>
      </c>
    </row>
    <row r="6" spans="1:5" ht="15" x14ac:dyDescent="0.25">
      <c r="A6" s="2"/>
      <c r="B6" t="s">
        <v>202</v>
      </c>
    </row>
    <row r="7" spans="1:5" ht="15" x14ac:dyDescent="0.25">
      <c r="A7" s="2"/>
      <c r="B7" t="s">
        <v>241</v>
      </c>
    </row>
    <row r="8" spans="1:5" ht="15" x14ac:dyDescent="0.25">
      <c r="A8" s="2"/>
      <c r="B8" t="s">
        <v>242</v>
      </c>
    </row>
    <row r="9" spans="1:5" ht="15" x14ac:dyDescent="0.25">
      <c r="A9" s="2" t="s">
        <v>205</v>
      </c>
    </row>
    <row r="10" spans="1:5" x14ac:dyDescent="0.2">
      <c r="B10" t="s">
        <v>232</v>
      </c>
    </row>
    <row r="11" spans="1:5" x14ac:dyDescent="0.2">
      <c r="B11" t="s">
        <v>207</v>
      </c>
    </row>
    <row r="14" spans="1:5" ht="15" thickBot="1" x14ac:dyDescent="0.25">
      <c r="A14" t="s">
        <v>208</v>
      </c>
    </row>
    <row r="15" spans="1:5" ht="15.75" thickBot="1" x14ac:dyDescent="0.3">
      <c r="B15" s="9" t="s">
        <v>1</v>
      </c>
      <c r="C15" s="9" t="s">
        <v>2</v>
      </c>
      <c r="D15" s="9" t="s">
        <v>209</v>
      </c>
      <c r="E15" s="9" t="s">
        <v>210</v>
      </c>
    </row>
    <row r="16" spans="1:5" ht="15" thickBot="1" x14ac:dyDescent="0.25">
      <c r="B16" s="4" t="s">
        <v>234</v>
      </c>
      <c r="C16" s="4" t="s">
        <v>243</v>
      </c>
      <c r="D16" s="4">
        <v>7.2727272727272734</v>
      </c>
      <c r="E16" s="4">
        <v>7.2727272727272734</v>
      </c>
    </row>
    <row r="19" spans="1:7" ht="15" thickBot="1" x14ac:dyDescent="0.25">
      <c r="A19" t="s">
        <v>9</v>
      </c>
    </row>
    <row r="20" spans="1:7" ht="15.75" thickBot="1" x14ac:dyDescent="0.3">
      <c r="B20" s="9" t="s">
        <v>1</v>
      </c>
      <c r="C20" s="9" t="s">
        <v>2</v>
      </c>
      <c r="D20" s="9" t="s">
        <v>209</v>
      </c>
      <c r="E20" s="9" t="s">
        <v>210</v>
      </c>
      <c r="F20" s="9" t="s">
        <v>211</v>
      </c>
    </row>
    <row r="21" spans="1:7" x14ac:dyDescent="0.2">
      <c r="B21" s="3" t="s">
        <v>32</v>
      </c>
      <c r="C21" s="3" t="s">
        <v>47</v>
      </c>
      <c r="D21" s="3">
        <v>0.90909090909090906</v>
      </c>
      <c r="E21" s="3">
        <v>0.90909090909090906</v>
      </c>
      <c r="F21" s="3" t="s">
        <v>217</v>
      </c>
    </row>
    <row r="22" spans="1:7" x14ac:dyDescent="0.2">
      <c r="B22" s="3" t="s">
        <v>34</v>
      </c>
      <c r="C22" s="3" t="s">
        <v>48</v>
      </c>
      <c r="D22" s="3">
        <v>1.8181818181818183</v>
      </c>
      <c r="E22" s="3">
        <v>1.8181818181818183</v>
      </c>
      <c r="F22" s="3" t="s">
        <v>217</v>
      </c>
    </row>
    <row r="23" spans="1:7" x14ac:dyDescent="0.2">
      <c r="B23" s="3" t="s">
        <v>49</v>
      </c>
      <c r="C23" s="3" t="s">
        <v>50</v>
      </c>
      <c r="D23" s="3">
        <v>0</v>
      </c>
      <c r="E23" s="3">
        <v>0</v>
      </c>
      <c r="F23" s="3" t="s">
        <v>217</v>
      </c>
    </row>
    <row r="24" spans="1:7" x14ac:dyDescent="0.2">
      <c r="B24" s="3" t="s">
        <v>51</v>
      </c>
      <c r="C24" s="3" t="s">
        <v>52</v>
      </c>
      <c r="D24" s="3">
        <v>0</v>
      </c>
      <c r="E24" s="3">
        <v>0</v>
      </c>
      <c r="F24" s="3" t="s">
        <v>217</v>
      </c>
    </row>
    <row r="25" spans="1:7" x14ac:dyDescent="0.2">
      <c r="B25" s="3" t="s">
        <v>53</v>
      </c>
      <c r="C25" s="3" t="s">
        <v>54</v>
      </c>
      <c r="D25" s="3">
        <v>0</v>
      </c>
      <c r="E25" s="3">
        <v>0</v>
      </c>
      <c r="F25" s="3" t="s">
        <v>217</v>
      </c>
    </row>
    <row r="26" spans="1:7" ht="15" thickBot="1" x14ac:dyDescent="0.25">
      <c r="B26" s="4" t="s">
        <v>55</v>
      </c>
      <c r="C26" s="4" t="s">
        <v>56</v>
      </c>
      <c r="D26" s="4">
        <v>0</v>
      </c>
      <c r="E26" s="4">
        <v>0</v>
      </c>
      <c r="F26" s="4" t="s">
        <v>217</v>
      </c>
    </row>
    <row r="29" spans="1:7" ht="15" thickBot="1" x14ac:dyDescent="0.25">
      <c r="A29" t="s">
        <v>10</v>
      </c>
    </row>
    <row r="30" spans="1:7" ht="15.75" thickBot="1" x14ac:dyDescent="0.3">
      <c r="B30" s="9" t="s">
        <v>1</v>
      </c>
      <c r="C30" s="9" t="s">
        <v>2</v>
      </c>
      <c r="D30" s="9" t="s">
        <v>212</v>
      </c>
      <c r="E30" s="9" t="s">
        <v>213</v>
      </c>
      <c r="F30" s="9" t="s">
        <v>214</v>
      </c>
      <c r="G30" s="9" t="s">
        <v>215</v>
      </c>
    </row>
    <row r="31" spans="1:7" x14ac:dyDescent="0.2">
      <c r="B31" s="3" t="s">
        <v>57</v>
      </c>
      <c r="C31" s="3" t="s">
        <v>58</v>
      </c>
      <c r="D31" s="3">
        <v>72.72727272727272</v>
      </c>
      <c r="E31" s="3" t="s">
        <v>244</v>
      </c>
      <c r="F31" s="3" t="s">
        <v>236</v>
      </c>
      <c r="G31" s="3">
        <v>2.7272727272727195</v>
      </c>
    </row>
    <row r="32" spans="1:7" x14ac:dyDescent="0.2">
      <c r="B32" s="3" t="s">
        <v>59</v>
      </c>
      <c r="C32" s="3" t="s">
        <v>60</v>
      </c>
      <c r="D32" s="3">
        <v>100</v>
      </c>
      <c r="E32" s="3" t="s">
        <v>245</v>
      </c>
      <c r="F32" s="3" t="s">
        <v>219</v>
      </c>
      <c r="G32" s="3">
        <v>0</v>
      </c>
    </row>
    <row r="33" spans="2:7" ht="15" thickBot="1" x14ac:dyDescent="0.25">
      <c r="B33" s="4" t="s">
        <v>61</v>
      </c>
      <c r="C33" s="4" t="s">
        <v>62</v>
      </c>
      <c r="D33" s="4">
        <v>20.000000000000004</v>
      </c>
      <c r="E33" s="4" t="s">
        <v>246</v>
      </c>
      <c r="F33" s="4" t="s">
        <v>219</v>
      </c>
      <c r="G33" s="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CC0B1-8E6D-4790-8C5F-7CB88138F06C}">
  <dimension ref="A1:H21"/>
  <sheetViews>
    <sheetView showGridLines="0" topLeftCell="A6" workbookViewId="0">
      <selection activeCell="E11" sqref="E11:E14"/>
    </sheetView>
  </sheetViews>
  <sheetFormatPr baseColWidth="10" defaultRowHeight="14.25" x14ac:dyDescent="0.2"/>
  <cols>
    <col min="1" max="1" width="2.125" customWidth="1"/>
    <col min="2" max="2" width="6" bestFit="1" customWidth="1"/>
    <col min="3" max="3" width="12.125" bestFit="1" customWidth="1"/>
    <col min="4" max="5" width="11.875" bestFit="1" customWidth="1"/>
    <col min="6" max="6" width="13.125" bestFit="1" customWidth="1"/>
    <col min="7" max="8" width="11.875" bestFit="1" customWidth="1"/>
  </cols>
  <sheetData>
    <row r="1" spans="1:8" ht="15" x14ac:dyDescent="0.25">
      <c r="A1" s="2" t="s">
        <v>149</v>
      </c>
    </row>
    <row r="2" spans="1:8" ht="15" x14ac:dyDescent="0.25">
      <c r="A2" s="2" t="s">
        <v>182</v>
      </c>
    </row>
    <row r="3" spans="1:8" ht="15" x14ac:dyDescent="0.25">
      <c r="A3" s="2" t="s">
        <v>183</v>
      </c>
    </row>
    <row r="6" spans="1:8" ht="15" thickBot="1" x14ac:dyDescent="0.25">
      <c r="A6" t="s">
        <v>9</v>
      </c>
    </row>
    <row r="7" spans="1:8" ht="15" x14ac:dyDescent="0.25">
      <c r="B7" s="5"/>
      <c r="C7" s="5"/>
      <c r="D7" s="5" t="s">
        <v>13</v>
      </c>
      <c r="E7" s="5" t="s">
        <v>14</v>
      </c>
      <c r="F7" s="5" t="s">
        <v>0</v>
      </c>
      <c r="G7" s="5" t="s">
        <v>15</v>
      </c>
      <c r="H7" s="5" t="s">
        <v>15</v>
      </c>
    </row>
    <row r="8" spans="1:8" ht="15.75" thickBot="1" x14ac:dyDescent="0.3">
      <c r="B8" s="6" t="s">
        <v>1</v>
      </c>
      <c r="C8" s="6" t="s">
        <v>2</v>
      </c>
      <c r="D8" s="6" t="s">
        <v>3</v>
      </c>
      <c r="E8" s="6" t="s">
        <v>16</v>
      </c>
      <c r="F8" s="6" t="s">
        <v>17</v>
      </c>
      <c r="G8" s="6" t="s">
        <v>150</v>
      </c>
      <c r="H8" s="6" t="s">
        <v>151</v>
      </c>
    </row>
    <row r="9" spans="1:8" x14ac:dyDescent="0.2">
      <c r="B9" s="3" t="s">
        <v>32</v>
      </c>
      <c r="C9" s="3" t="s">
        <v>47</v>
      </c>
      <c r="D9" s="3">
        <v>0.90909090909090906</v>
      </c>
      <c r="E9" s="3">
        <v>0</v>
      </c>
      <c r="F9" s="3">
        <v>2</v>
      </c>
      <c r="G9" s="3">
        <v>3.0000000000000009</v>
      </c>
      <c r="H9" s="3">
        <v>0.66666666666666707</v>
      </c>
    </row>
    <row r="10" spans="1:8" x14ac:dyDescent="0.2">
      <c r="B10" s="3" t="s">
        <v>34</v>
      </c>
      <c r="C10" s="3" t="s">
        <v>48</v>
      </c>
      <c r="D10" s="3">
        <v>1.8181818181818183</v>
      </c>
      <c r="E10" s="3">
        <v>0</v>
      </c>
      <c r="F10" s="3">
        <v>3</v>
      </c>
      <c r="G10" s="3">
        <v>1.1489361702127663</v>
      </c>
      <c r="H10" s="3">
        <v>1.8000000000000005</v>
      </c>
    </row>
    <row r="11" spans="1:8" x14ac:dyDescent="0.2">
      <c r="B11" s="3" t="s">
        <v>49</v>
      </c>
      <c r="C11" s="3" t="s">
        <v>50</v>
      </c>
      <c r="D11" s="3">
        <v>0</v>
      </c>
      <c r="E11" s="3">
        <v>1.6363636363636369</v>
      </c>
      <c r="F11" s="3">
        <v>5</v>
      </c>
      <c r="G11" s="3">
        <v>1E+30</v>
      </c>
      <c r="H11" s="3">
        <v>1.6363636363636369</v>
      </c>
    </row>
    <row r="12" spans="1:8" x14ac:dyDescent="0.2">
      <c r="B12" s="3" t="s">
        <v>51</v>
      </c>
      <c r="C12" s="3" t="s">
        <v>52</v>
      </c>
      <c r="D12" s="3">
        <v>0</v>
      </c>
      <c r="E12" s="3">
        <v>2.8181818181818183</v>
      </c>
      <c r="F12" s="3">
        <v>6</v>
      </c>
      <c r="G12" s="3">
        <v>1E+30</v>
      </c>
      <c r="H12" s="3">
        <v>2.8181818181818183</v>
      </c>
    </row>
    <row r="13" spans="1:8" x14ac:dyDescent="0.2">
      <c r="B13" s="3" t="s">
        <v>53</v>
      </c>
      <c r="C13" s="3" t="s">
        <v>54</v>
      </c>
      <c r="D13" s="3">
        <v>0</v>
      </c>
      <c r="E13" s="3">
        <v>4.6363636363636367</v>
      </c>
      <c r="F13" s="3">
        <v>8</v>
      </c>
      <c r="G13" s="3">
        <v>1E+30</v>
      </c>
      <c r="H13" s="3">
        <v>4.6363636363636367</v>
      </c>
    </row>
    <row r="14" spans="1:8" ht="15" thickBot="1" x14ac:dyDescent="0.25">
      <c r="B14" s="4" t="s">
        <v>55</v>
      </c>
      <c r="C14" s="4" t="s">
        <v>56</v>
      </c>
      <c r="D14" s="4">
        <v>0</v>
      </c>
      <c r="E14" s="4">
        <v>4.9090909090909092</v>
      </c>
      <c r="F14" s="4">
        <v>8</v>
      </c>
      <c r="G14" s="4">
        <v>1E+30</v>
      </c>
      <c r="H14" s="4">
        <v>4.9090909090909092</v>
      </c>
    </row>
    <row r="16" spans="1:8" ht="15" thickBot="1" x14ac:dyDescent="0.25">
      <c r="A16" t="s">
        <v>10</v>
      </c>
    </row>
    <row r="17" spans="2:8" ht="15" x14ac:dyDescent="0.25">
      <c r="B17" s="5"/>
      <c r="C17" s="5"/>
      <c r="D17" s="5" t="s">
        <v>13</v>
      </c>
      <c r="E17" s="5" t="s">
        <v>18</v>
      </c>
      <c r="F17" s="5" t="s">
        <v>19</v>
      </c>
      <c r="G17" s="5" t="s">
        <v>15</v>
      </c>
      <c r="H17" s="5" t="s">
        <v>15</v>
      </c>
    </row>
    <row r="18" spans="2:8" ht="15.75" thickBot="1" x14ac:dyDescent="0.3">
      <c r="B18" s="6" t="s">
        <v>1</v>
      </c>
      <c r="C18" s="6" t="s">
        <v>2</v>
      </c>
      <c r="D18" s="6" t="s">
        <v>3</v>
      </c>
      <c r="E18" s="6" t="s">
        <v>20</v>
      </c>
      <c r="F18" s="6" t="s">
        <v>21</v>
      </c>
      <c r="G18" s="6" t="s">
        <v>150</v>
      </c>
      <c r="H18" s="6" t="s">
        <v>151</v>
      </c>
    </row>
    <row r="19" spans="2:8" x14ac:dyDescent="0.2">
      <c r="B19" s="3" t="s">
        <v>57</v>
      </c>
      <c r="C19" s="3" t="s">
        <v>58</v>
      </c>
      <c r="D19" s="3">
        <v>72.72727272727272</v>
      </c>
      <c r="E19" s="3">
        <v>0</v>
      </c>
      <c r="F19" s="3">
        <v>70</v>
      </c>
      <c r="G19" s="3">
        <v>2.7272727272727266</v>
      </c>
      <c r="H19" s="3">
        <v>1E+30</v>
      </c>
    </row>
    <row r="20" spans="2:8" x14ac:dyDescent="0.2">
      <c r="B20" s="3" t="s">
        <v>59</v>
      </c>
      <c r="C20" s="3" t="s">
        <v>60</v>
      </c>
      <c r="D20" s="3">
        <v>100</v>
      </c>
      <c r="E20" s="3">
        <v>1.8181818181818195E-2</v>
      </c>
      <c r="F20" s="3">
        <v>100</v>
      </c>
      <c r="G20" s="3">
        <v>149.99999999999997</v>
      </c>
      <c r="H20" s="3">
        <v>14.999999999999993</v>
      </c>
    </row>
    <row r="21" spans="2:8" ht="15" thickBot="1" x14ac:dyDescent="0.25">
      <c r="B21" s="4" t="s">
        <v>61</v>
      </c>
      <c r="C21" s="4" t="s">
        <v>62</v>
      </c>
      <c r="D21" s="4">
        <v>20.000000000000004</v>
      </c>
      <c r="E21" s="4">
        <v>0.27272727272727282</v>
      </c>
      <c r="F21" s="4">
        <v>20</v>
      </c>
      <c r="G21" s="4">
        <v>10</v>
      </c>
      <c r="H21" s="4">
        <v>0.99999999999999967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BA190-216D-46C1-8EFB-C51924A422F0}">
  <dimension ref="A1:H64"/>
  <sheetViews>
    <sheetView workbookViewId="0">
      <selection sqref="A1:H14"/>
    </sheetView>
  </sheetViews>
  <sheetFormatPr baseColWidth="10" defaultColWidth="9.125" defaultRowHeight="14.25" x14ac:dyDescent="0.2"/>
  <cols>
    <col min="1" max="1" width="17.625" bestFit="1" customWidth="1"/>
    <col min="2" max="2" width="7" bestFit="1" customWidth="1"/>
    <col min="3" max="4" width="4.375" bestFit="1" customWidth="1"/>
    <col min="5" max="5" width="11.5" bestFit="1" customWidth="1"/>
    <col min="6" max="6" width="3.5" bestFit="1" customWidth="1"/>
    <col min="7" max="7" width="2.625" bestFit="1" customWidth="1"/>
  </cols>
  <sheetData>
    <row r="1" spans="1:8" ht="14.25" customHeight="1" x14ac:dyDescent="0.25">
      <c r="A1" s="1" t="s">
        <v>44</v>
      </c>
      <c r="B1" s="1">
        <f>SUMPRODUCT(B4:E4,B5:E5)</f>
        <v>1250000</v>
      </c>
    </row>
    <row r="2" spans="1:8" ht="14.25" customHeight="1" x14ac:dyDescent="0.2"/>
    <row r="3" spans="1:8" ht="14.25" customHeight="1" x14ac:dyDescent="0.25">
      <c r="A3" s="1" t="s">
        <v>93</v>
      </c>
      <c r="B3" s="1" t="s">
        <v>65</v>
      </c>
      <c r="C3" s="1" t="s">
        <v>66</v>
      </c>
      <c r="D3" s="1" t="s">
        <v>67</v>
      </c>
      <c r="E3" s="1" t="s">
        <v>68</v>
      </c>
    </row>
    <row r="4" spans="1:8" ht="14.25" customHeight="1" x14ac:dyDescent="0.25">
      <c r="A4" s="1" t="s">
        <v>43</v>
      </c>
      <c r="B4" s="1">
        <v>50</v>
      </c>
      <c r="C4" s="1">
        <v>0</v>
      </c>
      <c r="D4" s="1">
        <v>145</v>
      </c>
      <c r="E4" s="1">
        <v>9.9999999999999947</v>
      </c>
    </row>
    <row r="5" spans="1:8" ht="14.25" customHeight="1" x14ac:dyDescent="0.25">
      <c r="A5" s="1" t="s">
        <v>94</v>
      </c>
      <c r="B5" s="1">
        <v>6000</v>
      </c>
      <c r="C5" s="1">
        <v>4000</v>
      </c>
      <c r="D5" s="1">
        <v>6000</v>
      </c>
      <c r="E5" s="1">
        <v>8000</v>
      </c>
    </row>
    <row r="6" spans="1:8" ht="14.25" customHeight="1" x14ac:dyDescent="0.2"/>
    <row r="7" spans="1:8" ht="14.25" customHeight="1" x14ac:dyDescent="0.25">
      <c r="A7" s="1" t="s">
        <v>10</v>
      </c>
    </row>
    <row r="8" spans="1:8" ht="14.25" customHeight="1" x14ac:dyDescent="0.25">
      <c r="A8" s="1" t="s">
        <v>95</v>
      </c>
      <c r="B8" s="1">
        <v>3</v>
      </c>
      <c r="C8" s="1">
        <v>2</v>
      </c>
      <c r="D8" s="1">
        <v>2</v>
      </c>
      <c r="E8" s="1">
        <v>4</v>
      </c>
      <c r="F8" s="1">
        <f>SUMPRODUCT(B4:E4,B8:E8)</f>
        <v>480</v>
      </c>
      <c r="G8" s="1" t="s">
        <v>30</v>
      </c>
      <c r="H8" s="1">
        <v>480</v>
      </c>
    </row>
    <row r="9" spans="1:8" ht="14.25" customHeight="1" x14ac:dyDescent="0.25">
      <c r="A9" s="1" t="s">
        <v>96</v>
      </c>
      <c r="B9" s="1">
        <v>1</v>
      </c>
      <c r="C9" s="1">
        <v>1</v>
      </c>
      <c r="D9" s="1">
        <v>2</v>
      </c>
      <c r="E9" s="1">
        <v>3</v>
      </c>
      <c r="F9" s="1">
        <f>SUMPRODUCT(B4:E4,B9:E9)</f>
        <v>370</v>
      </c>
      <c r="G9" s="1" t="s">
        <v>30</v>
      </c>
      <c r="H9" s="1">
        <v>400</v>
      </c>
    </row>
    <row r="10" spans="1:8" ht="14.25" customHeight="1" x14ac:dyDescent="0.25">
      <c r="A10" s="1" t="s">
        <v>97</v>
      </c>
      <c r="B10" s="1">
        <v>2</v>
      </c>
      <c r="C10" s="1">
        <v>1</v>
      </c>
      <c r="D10" s="1">
        <v>2</v>
      </c>
      <c r="E10" s="1">
        <v>1</v>
      </c>
      <c r="F10" s="1">
        <f>SUMPRODUCT(B4:E4,B10:E10)</f>
        <v>400</v>
      </c>
      <c r="G10" s="1" t="s">
        <v>30</v>
      </c>
      <c r="H10" s="1">
        <v>400</v>
      </c>
    </row>
    <row r="11" spans="1:8" ht="14.25" customHeight="1" x14ac:dyDescent="0.25">
      <c r="A11" s="1" t="s">
        <v>88</v>
      </c>
      <c r="B11" s="1">
        <v>0</v>
      </c>
      <c r="C11" s="1">
        <v>0</v>
      </c>
      <c r="D11" s="1">
        <v>0</v>
      </c>
      <c r="E11" s="1">
        <v>1</v>
      </c>
      <c r="F11" s="1">
        <f>SUMPRODUCT(B4:E4,B11:E11)</f>
        <v>9.9999999999999947</v>
      </c>
      <c r="G11" s="1" t="s">
        <v>30</v>
      </c>
      <c r="H11" s="1">
        <v>25</v>
      </c>
    </row>
    <row r="12" spans="1:8" ht="14.25" customHeight="1" x14ac:dyDescent="0.25">
      <c r="A12" s="1" t="s">
        <v>90</v>
      </c>
      <c r="B12" s="1">
        <v>1</v>
      </c>
      <c r="C12" s="1">
        <v>0</v>
      </c>
      <c r="D12" s="1">
        <v>0</v>
      </c>
      <c r="E12" s="1">
        <v>0</v>
      </c>
      <c r="F12" s="1">
        <f>SUMPRODUCT(B4:E4,B12:E12)</f>
        <v>50</v>
      </c>
      <c r="G12" s="1" t="s">
        <v>73</v>
      </c>
      <c r="H12" s="1">
        <v>50</v>
      </c>
    </row>
    <row r="13" spans="1:8" ht="14.25" customHeight="1" x14ac:dyDescent="0.25">
      <c r="A13" s="1" t="s">
        <v>92</v>
      </c>
      <c r="B13" s="1">
        <v>1</v>
      </c>
      <c r="C13" s="1">
        <v>1</v>
      </c>
      <c r="D13" s="1">
        <v>1</v>
      </c>
      <c r="E13" s="1">
        <v>0</v>
      </c>
      <c r="F13" s="1">
        <f>SUMPRODUCT(B4:E4,B13:E13)</f>
        <v>195</v>
      </c>
      <c r="G13" s="1" t="s">
        <v>73</v>
      </c>
      <c r="H13" s="1">
        <v>100</v>
      </c>
    </row>
    <row r="14" spans="1:8" ht="14.25" customHeight="1" x14ac:dyDescent="0.2"/>
    <row r="15" spans="1:8" ht="15" customHeight="1" x14ac:dyDescent="0.2"/>
    <row r="16" spans="1:8" ht="15" customHeight="1" x14ac:dyDescent="0.2"/>
    <row r="17" ht="15" customHeight="1" x14ac:dyDescent="0.2"/>
    <row r="18" ht="15" customHeight="1" x14ac:dyDescent="0.2"/>
    <row r="19" ht="15" customHeight="1" x14ac:dyDescent="0.2"/>
    <row r="20" ht="15" customHeight="1" x14ac:dyDescent="0.2"/>
    <row r="21" ht="15" customHeight="1" x14ac:dyDescent="0.2"/>
    <row r="22" ht="15" customHeight="1" x14ac:dyDescent="0.2"/>
    <row r="23" ht="15" customHeight="1" x14ac:dyDescent="0.2"/>
    <row r="24" ht="15" customHeight="1" x14ac:dyDescent="0.2"/>
    <row r="25" ht="15" customHeight="1" x14ac:dyDescent="0.2"/>
    <row r="26" ht="15" customHeight="1" x14ac:dyDescent="0.2"/>
    <row r="27" ht="15" customHeight="1" x14ac:dyDescent="0.2"/>
    <row r="28" ht="15" customHeight="1" x14ac:dyDescent="0.2"/>
    <row r="29" ht="15" customHeight="1" x14ac:dyDescent="0.2"/>
    <row r="30" ht="15" customHeight="1" x14ac:dyDescent="0.2"/>
    <row r="31" ht="15" customHeight="1" x14ac:dyDescent="0.2"/>
    <row r="32" ht="15" customHeight="1" x14ac:dyDescent="0.2"/>
    <row r="33" ht="15" customHeight="1" x14ac:dyDescent="0.2"/>
    <row r="34" ht="15" customHeight="1" x14ac:dyDescent="0.2"/>
    <row r="35" ht="15" customHeight="1" x14ac:dyDescent="0.2"/>
    <row r="36" ht="15" customHeight="1" x14ac:dyDescent="0.2"/>
    <row r="37" ht="15" customHeight="1" x14ac:dyDescent="0.2"/>
    <row r="38" ht="15" customHeight="1" x14ac:dyDescent="0.2"/>
    <row r="39" ht="15" customHeight="1" x14ac:dyDescent="0.2"/>
    <row r="40" ht="15" customHeight="1" x14ac:dyDescent="0.2"/>
    <row r="41" ht="15" customHeight="1" x14ac:dyDescent="0.2"/>
    <row r="42" ht="15" customHeight="1" x14ac:dyDescent="0.2"/>
    <row r="43" ht="15" customHeight="1" x14ac:dyDescent="0.2"/>
    <row r="44" ht="15" customHeight="1" x14ac:dyDescent="0.2"/>
    <row r="45" ht="15" customHeight="1" x14ac:dyDescent="0.2"/>
    <row r="46" ht="15" customHeight="1" x14ac:dyDescent="0.2"/>
    <row r="47" ht="15" customHeight="1" x14ac:dyDescent="0.2"/>
    <row r="48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  <row r="56" ht="15" customHeight="1" x14ac:dyDescent="0.2"/>
    <row r="57" ht="15" customHeight="1" x14ac:dyDescent="0.2"/>
    <row r="58" ht="15" customHeight="1" x14ac:dyDescent="0.2"/>
    <row r="59" ht="15" customHeight="1" x14ac:dyDescent="0.2"/>
    <row r="60" ht="15" customHeight="1" x14ac:dyDescent="0.2"/>
    <row r="61" ht="15" customHeight="1" x14ac:dyDescent="0.2"/>
    <row r="62" ht="15" customHeight="1" x14ac:dyDescent="0.2"/>
    <row r="63" ht="15" customHeight="1" x14ac:dyDescent="0.2"/>
    <row r="64" ht="15" customHeight="1" x14ac:dyDescent="0.2"/>
  </sheetData>
  <sheetProtection selectLockedCells="1" selectUnlockedCells="1"/>
  <dataValidations count="1">
    <dataValidation operator="equal" allowBlank="1" showInputMessage="1" showErrorMessage="1" sqref="B1" xr:uid="{13E052B6-4842-461A-9A8A-9F218C6527AE}">
      <formula1>0</formula1>
    </dataValidation>
  </dataValidations>
  <pageMargins left="0.7006944444444444" right="0.7006944444444444" top="1.5395833333333333" bottom="1.5395833333333333" header="0.75208333333333333" footer="0.75208333333333333"/>
  <pageSetup paperSize="9" orientation="portrait" useFirstPageNumber="1" horizontalDpi="300" verticalDpi="300"/>
  <headerFooter scaleWithDoc="0"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378FC-0109-4879-AFD1-3D2034E5D4DC}">
  <dimension ref="A1:J16"/>
  <sheetViews>
    <sheetView showGridLines="0" workbookViewId="0">
      <selection sqref="A1:A3"/>
    </sheetView>
  </sheetViews>
  <sheetFormatPr baseColWidth="10" defaultRowHeight="14.25" x14ac:dyDescent="0.2"/>
  <cols>
    <col min="1" max="1" width="2.125" customWidth="1"/>
    <col min="2" max="2" width="6" bestFit="1" customWidth="1"/>
    <col min="3" max="3" width="8" bestFit="1" customWidth="1"/>
    <col min="4" max="4" width="7.875" bestFit="1" customWidth="1"/>
    <col min="5" max="5" width="2.125" customWidth="1"/>
    <col min="6" max="6" width="7.375" bestFit="1" customWidth="1"/>
    <col min="7" max="7" width="9.875" bestFit="1" customWidth="1"/>
    <col min="8" max="8" width="2.125" customWidth="1"/>
    <col min="9" max="9" width="8.625" bestFit="1" customWidth="1"/>
    <col min="10" max="10" width="9.875" bestFit="1" customWidth="1"/>
  </cols>
  <sheetData>
    <row r="1" spans="1:10" ht="15" x14ac:dyDescent="0.25">
      <c r="A1" s="2" t="s">
        <v>221</v>
      </c>
    </row>
    <row r="2" spans="1:10" ht="15" x14ac:dyDescent="0.25">
      <c r="A2" s="2" t="s">
        <v>247</v>
      </c>
    </row>
    <row r="3" spans="1:10" ht="15" x14ac:dyDescent="0.25">
      <c r="A3" s="2" t="s">
        <v>248</v>
      </c>
    </row>
    <row r="5" spans="1:10" ht="15" thickBot="1" x14ac:dyDescent="0.25"/>
    <row r="6" spans="1:10" ht="15" x14ac:dyDescent="0.25">
      <c r="B6" s="5"/>
      <c r="C6" s="5" t="s">
        <v>0</v>
      </c>
      <c r="D6" s="5"/>
    </row>
    <row r="7" spans="1:10" ht="15.75" thickBot="1" x14ac:dyDescent="0.3">
      <c r="B7" s="6" t="s">
        <v>1</v>
      </c>
      <c r="C7" s="6" t="s">
        <v>2</v>
      </c>
      <c r="D7" s="6" t="s">
        <v>3</v>
      </c>
    </row>
    <row r="8" spans="1:10" ht="15" thickBot="1" x14ac:dyDescent="0.25">
      <c r="B8" s="4" t="s">
        <v>234</v>
      </c>
      <c r="C8" s="4" t="s">
        <v>250</v>
      </c>
      <c r="D8" s="4">
        <v>1250000</v>
      </c>
    </row>
    <row r="10" spans="1:10" ht="15" thickBot="1" x14ac:dyDescent="0.25"/>
    <row r="11" spans="1:10" ht="15" x14ac:dyDescent="0.25">
      <c r="B11" s="5"/>
      <c r="C11" s="5" t="s">
        <v>222</v>
      </c>
      <c r="D11" s="5"/>
      <c r="F11" s="5" t="s">
        <v>223</v>
      </c>
      <c r="G11" s="5" t="s">
        <v>0</v>
      </c>
      <c r="I11" s="5" t="s">
        <v>226</v>
      </c>
      <c r="J11" s="5" t="s">
        <v>0</v>
      </c>
    </row>
    <row r="12" spans="1:10" ht="15.75" thickBot="1" x14ac:dyDescent="0.3">
      <c r="B12" s="6" t="s">
        <v>1</v>
      </c>
      <c r="C12" s="6" t="s">
        <v>2</v>
      </c>
      <c r="D12" s="6" t="s">
        <v>3</v>
      </c>
      <c r="F12" s="6" t="s">
        <v>224</v>
      </c>
      <c r="G12" s="6" t="s">
        <v>225</v>
      </c>
      <c r="I12" s="6" t="s">
        <v>224</v>
      </c>
      <c r="J12" s="6" t="s">
        <v>225</v>
      </c>
    </row>
    <row r="13" spans="1:10" x14ac:dyDescent="0.2">
      <c r="B13" s="3" t="s">
        <v>76</v>
      </c>
      <c r="C13" s="3" t="s">
        <v>77</v>
      </c>
      <c r="D13" s="3">
        <v>50</v>
      </c>
      <c r="F13" s="3">
        <v>50</v>
      </c>
      <c r="G13" s="3">
        <v>1250000</v>
      </c>
      <c r="I13" s="3">
        <v>50</v>
      </c>
      <c r="J13" s="3">
        <v>1250000</v>
      </c>
    </row>
    <row r="14" spans="1:10" x14ac:dyDescent="0.2">
      <c r="B14" s="3" t="s">
        <v>78</v>
      </c>
      <c r="C14" s="3" t="s">
        <v>48</v>
      </c>
      <c r="D14" s="3">
        <v>0</v>
      </c>
      <c r="F14" s="3">
        <v>0</v>
      </c>
      <c r="G14" s="3">
        <v>1250000</v>
      </c>
      <c r="I14" s="3">
        <v>0</v>
      </c>
      <c r="J14" s="3">
        <v>1250000</v>
      </c>
    </row>
    <row r="15" spans="1:10" x14ac:dyDescent="0.2">
      <c r="B15" s="3" t="s">
        <v>79</v>
      </c>
      <c r="C15" s="3" t="s">
        <v>50</v>
      </c>
      <c r="D15" s="3">
        <v>145</v>
      </c>
      <c r="F15" s="3">
        <v>50</v>
      </c>
      <c r="G15" s="3">
        <v>680000</v>
      </c>
      <c r="I15" s="3">
        <v>145</v>
      </c>
      <c r="J15" s="3">
        <v>1250000</v>
      </c>
    </row>
    <row r="16" spans="1:10" ht="15" thickBot="1" x14ac:dyDescent="0.25">
      <c r="B16" s="4" t="s">
        <v>80</v>
      </c>
      <c r="C16" s="4" t="s">
        <v>52</v>
      </c>
      <c r="D16" s="4">
        <v>9.9999999999999947</v>
      </c>
      <c r="F16" s="4">
        <v>0</v>
      </c>
      <c r="G16" s="4">
        <v>1170000</v>
      </c>
      <c r="I16" s="4">
        <v>10</v>
      </c>
      <c r="J16" s="4">
        <v>1250000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6309C-0661-48B8-88CB-5949E29A0517}">
  <dimension ref="A1:G34"/>
  <sheetViews>
    <sheetView showGridLines="0" topLeftCell="A3" workbookViewId="0"/>
  </sheetViews>
  <sheetFormatPr baseColWidth="10" defaultRowHeight="14.25" x14ac:dyDescent="0.2"/>
  <cols>
    <col min="1" max="1" width="2.125" customWidth="1"/>
    <col min="2" max="2" width="6" bestFit="1" customWidth="1"/>
    <col min="3" max="3" width="12.625" bestFit="1" customWidth="1"/>
    <col min="4" max="4" width="15.375" bestFit="1" customWidth="1"/>
    <col min="5" max="5" width="13.5" bestFit="1" customWidth="1"/>
    <col min="6" max="6" width="11.75" bestFit="1" customWidth="1"/>
    <col min="7" max="7" width="7.75" bestFit="1" customWidth="1"/>
  </cols>
  <sheetData>
    <row r="1" spans="1:5" ht="15" x14ac:dyDescent="0.25">
      <c r="A1" s="2" t="s">
        <v>197</v>
      </c>
    </row>
    <row r="2" spans="1:5" ht="15" x14ac:dyDescent="0.25">
      <c r="A2" s="2" t="s">
        <v>247</v>
      </c>
    </row>
    <row r="3" spans="1:5" ht="15" x14ac:dyDescent="0.25">
      <c r="A3" s="2" t="s">
        <v>248</v>
      </c>
    </row>
    <row r="4" spans="1:5" ht="15" x14ac:dyDescent="0.25">
      <c r="A4" s="2" t="s">
        <v>200</v>
      </c>
    </row>
    <row r="5" spans="1:5" ht="15" x14ac:dyDescent="0.25">
      <c r="A5" s="2" t="s">
        <v>201</v>
      </c>
    </row>
    <row r="6" spans="1:5" ht="15" x14ac:dyDescent="0.25">
      <c r="A6" s="2"/>
      <c r="B6" t="s">
        <v>202</v>
      </c>
    </row>
    <row r="7" spans="1:5" ht="15" x14ac:dyDescent="0.25">
      <c r="A7" s="2"/>
      <c r="B7" t="s">
        <v>230</v>
      </c>
    </row>
    <row r="8" spans="1:5" ht="15" x14ac:dyDescent="0.25">
      <c r="A8" s="2"/>
      <c r="B8" t="s">
        <v>249</v>
      </c>
    </row>
    <row r="9" spans="1:5" ht="15" x14ac:dyDescent="0.25">
      <c r="A9" s="2" t="s">
        <v>205</v>
      </c>
    </row>
    <row r="10" spans="1:5" x14ac:dyDescent="0.2">
      <c r="B10" t="s">
        <v>232</v>
      </c>
    </row>
    <row r="11" spans="1:5" x14ac:dyDescent="0.2">
      <c r="B11" t="s">
        <v>207</v>
      </c>
    </row>
    <row r="14" spans="1:5" ht="15" thickBot="1" x14ac:dyDescent="0.25">
      <c r="A14" t="s">
        <v>233</v>
      </c>
    </row>
    <row r="15" spans="1:5" ht="15.75" thickBot="1" x14ac:dyDescent="0.3">
      <c r="B15" s="9" t="s">
        <v>1</v>
      </c>
      <c r="C15" s="9" t="s">
        <v>2</v>
      </c>
      <c r="D15" s="9" t="s">
        <v>209</v>
      </c>
      <c r="E15" s="9" t="s">
        <v>210</v>
      </c>
    </row>
    <row r="16" spans="1:5" ht="15" thickBot="1" x14ac:dyDescent="0.25">
      <c r="B16" s="4" t="s">
        <v>234</v>
      </c>
      <c r="C16" s="4" t="s">
        <v>250</v>
      </c>
      <c r="D16" s="4">
        <v>1250000</v>
      </c>
      <c r="E16" s="4">
        <v>1250000</v>
      </c>
    </row>
    <row r="19" spans="1:7" ht="15" thickBot="1" x14ac:dyDescent="0.25">
      <c r="A19" t="s">
        <v>9</v>
      </c>
    </row>
    <row r="20" spans="1:7" ht="15.75" thickBot="1" x14ac:dyDescent="0.3">
      <c r="B20" s="9" t="s">
        <v>1</v>
      </c>
      <c r="C20" s="9" t="s">
        <v>2</v>
      </c>
      <c r="D20" s="9" t="s">
        <v>209</v>
      </c>
      <c r="E20" s="9" t="s">
        <v>210</v>
      </c>
      <c r="F20" s="9" t="s">
        <v>211</v>
      </c>
    </row>
    <row r="21" spans="1:7" x14ac:dyDescent="0.2">
      <c r="B21" s="3" t="s">
        <v>76</v>
      </c>
      <c r="C21" s="3" t="s">
        <v>77</v>
      </c>
      <c r="D21" s="3">
        <v>50</v>
      </c>
      <c r="E21" s="3">
        <v>50</v>
      </c>
      <c r="F21" s="3" t="s">
        <v>217</v>
      </c>
    </row>
    <row r="22" spans="1:7" x14ac:dyDescent="0.2">
      <c r="B22" s="3" t="s">
        <v>78</v>
      </c>
      <c r="C22" s="3" t="s">
        <v>48</v>
      </c>
      <c r="D22" s="3">
        <v>0</v>
      </c>
      <c r="E22" s="3">
        <v>0</v>
      </c>
      <c r="F22" s="3" t="s">
        <v>217</v>
      </c>
    </row>
    <row r="23" spans="1:7" x14ac:dyDescent="0.2">
      <c r="B23" s="3" t="s">
        <v>79</v>
      </c>
      <c r="C23" s="3" t="s">
        <v>50</v>
      </c>
      <c r="D23" s="3">
        <v>145</v>
      </c>
      <c r="E23" s="3">
        <v>145</v>
      </c>
      <c r="F23" s="3" t="s">
        <v>217</v>
      </c>
    </row>
    <row r="24" spans="1:7" ht="15" thickBot="1" x14ac:dyDescent="0.25">
      <c r="B24" s="4" t="s">
        <v>80</v>
      </c>
      <c r="C24" s="4" t="s">
        <v>52</v>
      </c>
      <c r="D24" s="4">
        <v>9.9999999999999947</v>
      </c>
      <c r="E24" s="4">
        <v>9.9999999999999947</v>
      </c>
      <c r="F24" s="4" t="s">
        <v>217</v>
      </c>
    </row>
    <row r="27" spans="1:7" ht="15" thickBot="1" x14ac:dyDescent="0.25">
      <c r="A27" t="s">
        <v>10</v>
      </c>
    </row>
    <row r="28" spans="1:7" ht="15.75" thickBot="1" x14ac:dyDescent="0.3">
      <c r="B28" s="9" t="s">
        <v>1</v>
      </c>
      <c r="C28" s="9" t="s">
        <v>2</v>
      </c>
      <c r="D28" s="9" t="s">
        <v>212</v>
      </c>
      <c r="E28" s="9" t="s">
        <v>213</v>
      </c>
      <c r="F28" s="9" t="s">
        <v>214</v>
      </c>
      <c r="G28" s="9" t="s">
        <v>215</v>
      </c>
    </row>
    <row r="29" spans="1:7" x14ac:dyDescent="0.2">
      <c r="B29" s="3" t="s">
        <v>89</v>
      </c>
      <c r="C29" s="3" t="s">
        <v>90</v>
      </c>
      <c r="D29" s="3">
        <v>50</v>
      </c>
      <c r="E29" s="3" t="s">
        <v>251</v>
      </c>
      <c r="F29" s="3" t="s">
        <v>219</v>
      </c>
      <c r="G29" s="3">
        <v>0</v>
      </c>
    </row>
    <row r="30" spans="1:7" x14ac:dyDescent="0.2">
      <c r="B30" s="3" t="s">
        <v>91</v>
      </c>
      <c r="C30" s="3" t="s">
        <v>92</v>
      </c>
      <c r="D30" s="3">
        <v>195</v>
      </c>
      <c r="E30" s="3" t="s">
        <v>252</v>
      </c>
      <c r="F30" s="3" t="s">
        <v>236</v>
      </c>
      <c r="G30" s="3">
        <v>95</v>
      </c>
    </row>
    <row r="31" spans="1:7" x14ac:dyDescent="0.2">
      <c r="B31" s="3" t="s">
        <v>87</v>
      </c>
      <c r="C31" s="3" t="s">
        <v>88</v>
      </c>
      <c r="D31" s="3">
        <v>9.9999999999999947</v>
      </c>
      <c r="E31" s="3" t="s">
        <v>253</v>
      </c>
      <c r="F31" s="3" t="s">
        <v>236</v>
      </c>
      <c r="G31" s="3">
        <v>15.000000000000005</v>
      </c>
    </row>
    <row r="32" spans="1:7" x14ac:dyDescent="0.2">
      <c r="B32" s="3" t="s">
        <v>81</v>
      </c>
      <c r="C32" s="3" t="s">
        <v>82</v>
      </c>
      <c r="D32" s="3">
        <v>480</v>
      </c>
      <c r="E32" s="3" t="s">
        <v>254</v>
      </c>
      <c r="F32" s="3" t="s">
        <v>219</v>
      </c>
      <c r="G32" s="3">
        <v>0</v>
      </c>
    </row>
    <row r="33" spans="2:7" x14ac:dyDescent="0.2">
      <c r="B33" s="3" t="s">
        <v>85</v>
      </c>
      <c r="C33" s="3" t="s">
        <v>86</v>
      </c>
      <c r="D33" s="3">
        <v>400</v>
      </c>
      <c r="E33" s="3" t="s">
        <v>255</v>
      </c>
      <c r="F33" s="3" t="s">
        <v>219</v>
      </c>
      <c r="G33" s="3">
        <v>0</v>
      </c>
    </row>
    <row r="34" spans="2:7" ht="15" thickBot="1" x14ac:dyDescent="0.25">
      <c r="B34" s="4" t="s">
        <v>83</v>
      </c>
      <c r="C34" s="4" t="s">
        <v>84</v>
      </c>
      <c r="D34" s="4">
        <v>370</v>
      </c>
      <c r="E34" s="4" t="s">
        <v>256</v>
      </c>
      <c r="F34" s="4" t="s">
        <v>236</v>
      </c>
      <c r="G34" s="4">
        <v>30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EB77D-0B71-4933-9FBC-C0CBAF32E4DC}">
  <dimension ref="A1:H22"/>
  <sheetViews>
    <sheetView showGridLines="0" workbookViewId="0"/>
  </sheetViews>
  <sheetFormatPr baseColWidth="10" defaultRowHeight="14.25" x14ac:dyDescent="0.2"/>
  <cols>
    <col min="1" max="1" width="2.125" customWidth="1"/>
    <col min="2" max="2" width="6" bestFit="1" customWidth="1"/>
    <col min="3" max="3" width="12.625" bestFit="1" customWidth="1"/>
    <col min="4" max="4" width="5.375" bestFit="1" customWidth="1"/>
    <col min="5" max="5" width="12.5" bestFit="1" customWidth="1"/>
    <col min="6" max="6" width="13.125" bestFit="1" customWidth="1"/>
    <col min="7" max="7" width="11.875" bestFit="1" customWidth="1"/>
    <col min="8" max="8" width="10.25" bestFit="1" customWidth="1"/>
  </cols>
  <sheetData>
    <row r="1" spans="1:8" ht="15" x14ac:dyDescent="0.25">
      <c r="A1" s="2" t="s">
        <v>149</v>
      </c>
    </row>
    <row r="2" spans="1:8" ht="15" x14ac:dyDescent="0.25">
      <c r="A2" s="2" t="s">
        <v>184</v>
      </c>
    </row>
    <row r="3" spans="1:8" ht="15" x14ac:dyDescent="0.25">
      <c r="A3" s="2" t="s">
        <v>185</v>
      </c>
    </row>
    <row r="6" spans="1:8" ht="15" thickBot="1" x14ac:dyDescent="0.25">
      <c r="A6" t="s">
        <v>9</v>
      </c>
    </row>
    <row r="7" spans="1:8" ht="15" x14ac:dyDescent="0.25">
      <c r="B7" s="5"/>
      <c r="C7" s="5"/>
      <c r="D7" s="5" t="s">
        <v>13</v>
      </c>
      <c r="E7" s="5" t="s">
        <v>14</v>
      </c>
      <c r="F7" s="5" t="s">
        <v>0</v>
      </c>
      <c r="G7" s="5" t="s">
        <v>15</v>
      </c>
      <c r="H7" s="5" t="s">
        <v>15</v>
      </c>
    </row>
    <row r="8" spans="1:8" ht="15.75" thickBot="1" x14ac:dyDescent="0.3">
      <c r="B8" s="6" t="s">
        <v>1</v>
      </c>
      <c r="C8" s="6" t="s">
        <v>2</v>
      </c>
      <c r="D8" s="6" t="s">
        <v>3</v>
      </c>
      <c r="E8" s="6" t="s">
        <v>16</v>
      </c>
      <c r="F8" s="6" t="s">
        <v>17</v>
      </c>
      <c r="G8" s="6" t="s">
        <v>150</v>
      </c>
      <c r="H8" s="6" t="s">
        <v>151</v>
      </c>
    </row>
    <row r="9" spans="1:8" x14ac:dyDescent="0.2">
      <c r="B9" s="3" t="s">
        <v>76</v>
      </c>
      <c r="C9" s="3" t="s">
        <v>77</v>
      </c>
      <c r="D9" s="3">
        <v>50</v>
      </c>
      <c r="E9" s="3">
        <v>0</v>
      </c>
      <c r="F9" s="3">
        <v>6000</v>
      </c>
      <c r="G9" s="3">
        <v>1666.6666666666665</v>
      </c>
      <c r="H9" s="3">
        <v>1E+30</v>
      </c>
    </row>
    <row r="10" spans="1:8" x14ac:dyDescent="0.2">
      <c r="B10" s="3" t="s">
        <v>78</v>
      </c>
      <c r="C10" s="3" t="s">
        <v>48</v>
      </c>
      <c r="D10" s="3">
        <v>0</v>
      </c>
      <c r="E10" s="3">
        <v>-666.66666666666652</v>
      </c>
      <c r="F10" s="3">
        <v>4000</v>
      </c>
      <c r="G10" s="3">
        <v>666.66666666666652</v>
      </c>
      <c r="H10" s="3">
        <v>1E+30</v>
      </c>
    </row>
    <row r="11" spans="1:8" x14ac:dyDescent="0.2">
      <c r="B11" s="3" t="s">
        <v>79</v>
      </c>
      <c r="C11" s="3" t="s">
        <v>50</v>
      </c>
      <c r="D11" s="3">
        <v>145</v>
      </c>
      <c r="E11" s="3">
        <v>0</v>
      </c>
      <c r="F11" s="3">
        <v>6000</v>
      </c>
      <c r="G11" s="3">
        <v>9999.9999999999945</v>
      </c>
      <c r="H11" s="3">
        <v>2000</v>
      </c>
    </row>
    <row r="12" spans="1:8" ht="15" thickBot="1" x14ac:dyDescent="0.25">
      <c r="B12" s="4" t="s">
        <v>80</v>
      </c>
      <c r="C12" s="4" t="s">
        <v>52</v>
      </c>
      <c r="D12" s="4">
        <v>9.9999999999999947</v>
      </c>
      <c r="E12" s="4">
        <v>0</v>
      </c>
      <c r="F12" s="4">
        <v>8000</v>
      </c>
      <c r="G12" s="4">
        <v>4000.0000000000005</v>
      </c>
      <c r="H12" s="4">
        <v>1999.9999999999995</v>
      </c>
    </row>
    <row r="14" spans="1:8" ht="15" thickBot="1" x14ac:dyDescent="0.25">
      <c r="A14" t="s">
        <v>10</v>
      </c>
    </row>
    <row r="15" spans="1:8" ht="15" x14ac:dyDescent="0.25">
      <c r="B15" s="5"/>
      <c r="C15" s="5"/>
      <c r="D15" s="5" t="s">
        <v>13</v>
      </c>
      <c r="E15" s="5" t="s">
        <v>18</v>
      </c>
      <c r="F15" s="5" t="s">
        <v>19</v>
      </c>
      <c r="G15" s="5" t="s">
        <v>15</v>
      </c>
      <c r="H15" s="5" t="s">
        <v>15</v>
      </c>
    </row>
    <row r="16" spans="1:8" ht="15.75" thickBot="1" x14ac:dyDescent="0.3">
      <c r="B16" s="6" t="s">
        <v>1</v>
      </c>
      <c r="C16" s="6" t="s">
        <v>2</v>
      </c>
      <c r="D16" s="6" t="s">
        <v>3</v>
      </c>
      <c r="E16" s="6" t="s">
        <v>20</v>
      </c>
      <c r="F16" s="6" t="s">
        <v>21</v>
      </c>
      <c r="G16" s="6" t="s">
        <v>150</v>
      </c>
      <c r="H16" s="6" t="s">
        <v>151</v>
      </c>
    </row>
    <row r="17" spans="2:8" x14ac:dyDescent="0.2">
      <c r="B17" s="3" t="s">
        <v>85</v>
      </c>
      <c r="C17" s="3" t="s">
        <v>86</v>
      </c>
      <c r="D17" s="3">
        <v>400</v>
      </c>
      <c r="E17" s="3">
        <v>1333.3333333333335</v>
      </c>
      <c r="F17" s="3">
        <v>400</v>
      </c>
      <c r="G17" s="3">
        <v>29.999999999999986</v>
      </c>
      <c r="H17" s="3">
        <v>45.000000000000021</v>
      </c>
    </row>
    <row r="18" spans="2:8" x14ac:dyDescent="0.2">
      <c r="B18" s="3" t="s">
        <v>83</v>
      </c>
      <c r="C18" s="3" t="s">
        <v>84</v>
      </c>
      <c r="D18" s="3">
        <v>370</v>
      </c>
      <c r="E18" s="3">
        <v>0</v>
      </c>
      <c r="F18" s="3">
        <v>400</v>
      </c>
      <c r="G18" s="3">
        <v>1E+30</v>
      </c>
      <c r="H18" s="3">
        <v>30.000000000000028</v>
      </c>
    </row>
    <row r="19" spans="2:8" x14ac:dyDescent="0.2">
      <c r="B19" s="3" t="s">
        <v>81</v>
      </c>
      <c r="C19" s="3" t="s">
        <v>82</v>
      </c>
      <c r="D19" s="3">
        <v>480</v>
      </c>
      <c r="E19" s="3">
        <v>1666.6666666666665</v>
      </c>
      <c r="F19" s="3">
        <v>480</v>
      </c>
      <c r="G19" s="3">
        <v>45.000000000000021</v>
      </c>
      <c r="H19" s="3">
        <v>29.999999999999986</v>
      </c>
    </row>
    <row r="20" spans="2:8" x14ac:dyDescent="0.2">
      <c r="B20" s="3" t="s">
        <v>87</v>
      </c>
      <c r="C20" s="3" t="s">
        <v>88</v>
      </c>
      <c r="D20" s="3">
        <v>9.9999999999999947</v>
      </c>
      <c r="E20" s="3">
        <v>0</v>
      </c>
      <c r="F20" s="3">
        <v>25</v>
      </c>
      <c r="G20" s="3">
        <v>1E+30</v>
      </c>
      <c r="H20" s="3">
        <v>15.000000000000005</v>
      </c>
    </row>
    <row r="21" spans="2:8" x14ac:dyDescent="0.2">
      <c r="B21" s="3" t="s">
        <v>89</v>
      </c>
      <c r="C21" s="3" t="s">
        <v>90</v>
      </c>
      <c r="D21" s="3">
        <v>50</v>
      </c>
      <c r="E21" s="3">
        <v>-1666.6666666666665</v>
      </c>
      <c r="F21" s="3">
        <v>50</v>
      </c>
      <c r="G21" s="3">
        <v>29.999999999999986</v>
      </c>
      <c r="H21" s="3">
        <v>18.000000000000018</v>
      </c>
    </row>
    <row r="22" spans="2:8" ht="15" thickBot="1" x14ac:dyDescent="0.25">
      <c r="B22" s="4" t="s">
        <v>91</v>
      </c>
      <c r="C22" s="4" t="s">
        <v>92</v>
      </c>
      <c r="D22" s="4">
        <v>195</v>
      </c>
      <c r="E22" s="4">
        <v>0</v>
      </c>
      <c r="F22" s="4">
        <v>100</v>
      </c>
      <c r="G22" s="4">
        <v>95</v>
      </c>
      <c r="H22" s="4">
        <v>1E+30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DF0D-E286-427B-A96A-95B7E3FF1D8E}">
  <dimension ref="A1:G64"/>
  <sheetViews>
    <sheetView workbookViewId="0">
      <selection activeCell="B1" sqref="B1"/>
    </sheetView>
  </sheetViews>
  <sheetFormatPr baseColWidth="10" defaultColWidth="9.125" defaultRowHeight="14.25" x14ac:dyDescent="0.2"/>
  <cols>
    <col min="1" max="1" width="16.625" bestFit="1" customWidth="1"/>
    <col min="2" max="4" width="10.5" bestFit="1" customWidth="1"/>
    <col min="6" max="6" width="3" bestFit="1" customWidth="1"/>
    <col min="7" max="7" width="2.625" bestFit="1" customWidth="1"/>
  </cols>
  <sheetData>
    <row r="1" spans="1:7" ht="14.25" customHeight="1" x14ac:dyDescent="0.25">
      <c r="A1" s="1" t="s">
        <v>98</v>
      </c>
      <c r="B1" s="1">
        <f>SUMPRODUCT(B4:D4,B5:D5)</f>
        <v>40000</v>
      </c>
    </row>
    <row r="2" spans="1:7" ht="14.25" customHeight="1" x14ac:dyDescent="0.2"/>
    <row r="3" spans="1:7" ht="14.25" customHeight="1" x14ac:dyDescent="0.25">
      <c r="A3" s="1" t="s">
        <v>106</v>
      </c>
      <c r="B3" s="1" t="s">
        <v>65</v>
      </c>
      <c r="C3" s="1" t="s">
        <v>66</v>
      </c>
      <c r="D3" s="1" t="s">
        <v>107</v>
      </c>
    </row>
    <row r="4" spans="1:7" ht="14.25" customHeight="1" x14ac:dyDescent="0.25">
      <c r="A4" s="1" t="s">
        <v>43</v>
      </c>
      <c r="B4" s="1">
        <v>11.428571428571431</v>
      </c>
      <c r="C4" s="1">
        <v>5.7142857142857153</v>
      </c>
      <c r="D4" s="1">
        <v>5.7142857142857135</v>
      </c>
    </row>
    <row r="5" spans="1:7" ht="14.25" customHeight="1" x14ac:dyDescent="0.25">
      <c r="A5" s="1" t="s">
        <v>108</v>
      </c>
      <c r="B5" s="1">
        <v>700</v>
      </c>
      <c r="C5" s="1">
        <v>2100</v>
      </c>
      <c r="D5" s="1">
        <v>3500</v>
      </c>
    </row>
    <row r="6" spans="1:7" ht="14.25" customHeight="1" x14ac:dyDescent="0.2"/>
    <row r="7" spans="1:7" ht="14.25" customHeight="1" x14ac:dyDescent="0.25">
      <c r="A7" s="1" t="s">
        <v>109</v>
      </c>
    </row>
    <row r="8" spans="1:7" ht="14.25" customHeight="1" x14ac:dyDescent="0.2"/>
    <row r="9" spans="1:7" ht="14.25" customHeight="1" x14ac:dyDescent="0.25">
      <c r="A9" s="1" t="s">
        <v>101</v>
      </c>
      <c r="B9" s="1">
        <v>1</v>
      </c>
      <c r="C9" s="1">
        <v>-2</v>
      </c>
      <c r="D9" s="1"/>
      <c r="E9" s="1">
        <f>SUMPRODUCT(B4:D4,B9:D9)</f>
        <v>0</v>
      </c>
      <c r="F9" s="1" t="s">
        <v>110</v>
      </c>
      <c r="G9" s="1">
        <v>0</v>
      </c>
    </row>
    <row r="10" spans="1:7" ht="14.25" customHeight="1" x14ac:dyDescent="0.25">
      <c r="A10" s="1" t="s">
        <v>103</v>
      </c>
      <c r="B10" s="1"/>
      <c r="C10" s="1">
        <v>1</v>
      </c>
      <c r="D10" s="1">
        <v>-1</v>
      </c>
      <c r="E10" s="1">
        <f>SUMPRODUCT(B4:D4,B10:D10)</f>
        <v>1.7763568394002505E-15</v>
      </c>
      <c r="F10" s="1" t="s">
        <v>73</v>
      </c>
      <c r="G10" s="1">
        <v>0</v>
      </c>
    </row>
    <row r="11" spans="1:7" ht="14.25" customHeight="1" x14ac:dyDescent="0.25">
      <c r="A11" s="1" t="s">
        <v>105</v>
      </c>
      <c r="B11" s="1">
        <v>1</v>
      </c>
      <c r="C11" s="1">
        <v>2</v>
      </c>
      <c r="D11" s="1">
        <v>3</v>
      </c>
      <c r="E11" s="1">
        <f>SUMPRODUCT(B4:D4,B11:D11)</f>
        <v>40</v>
      </c>
      <c r="F11" s="1" t="s">
        <v>30</v>
      </c>
      <c r="G11" s="1">
        <v>40</v>
      </c>
    </row>
    <row r="12" spans="1:7" ht="14.25" customHeight="1" x14ac:dyDescent="0.2"/>
    <row r="13" spans="1:7" ht="15" customHeight="1" x14ac:dyDescent="0.2"/>
    <row r="14" spans="1:7" ht="15" customHeight="1" x14ac:dyDescent="0.2"/>
    <row r="15" spans="1:7" ht="15" customHeight="1" x14ac:dyDescent="0.2"/>
    <row r="16" spans="1:7" ht="15" customHeight="1" x14ac:dyDescent="0.2"/>
    <row r="17" ht="15" customHeight="1" x14ac:dyDescent="0.2"/>
    <row r="18" ht="15" customHeight="1" x14ac:dyDescent="0.2"/>
    <row r="19" ht="15" customHeight="1" x14ac:dyDescent="0.2"/>
    <row r="20" ht="15" customHeight="1" x14ac:dyDescent="0.2"/>
    <row r="21" ht="15" customHeight="1" x14ac:dyDescent="0.2"/>
    <row r="22" ht="15" customHeight="1" x14ac:dyDescent="0.2"/>
    <row r="23" ht="15" customHeight="1" x14ac:dyDescent="0.2"/>
    <row r="24" ht="15" customHeight="1" x14ac:dyDescent="0.2"/>
    <row r="25" ht="15" customHeight="1" x14ac:dyDescent="0.2"/>
    <row r="26" ht="15" customHeight="1" x14ac:dyDescent="0.2"/>
    <row r="27" ht="15" customHeight="1" x14ac:dyDescent="0.2"/>
    <row r="28" ht="15" customHeight="1" x14ac:dyDescent="0.2"/>
    <row r="29" ht="15" customHeight="1" x14ac:dyDescent="0.2"/>
    <row r="30" ht="15" customHeight="1" x14ac:dyDescent="0.2"/>
    <row r="31" ht="15" customHeight="1" x14ac:dyDescent="0.2"/>
    <row r="32" ht="15" customHeight="1" x14ac:dyDescent="0.2"/>
    <row r="33" ht="15" customHeight="1" x14ac:dyDescent="0.2"/>
    <row r="34" ht="15" customHeight="1" x14ac:dyDescent="0.2"/>
    <row r="35" ht="15" customHeight="1" x14ac:dyDescent="0.2"/>
    <row r="36" ht="15" customHeight="1" x14ac:dyDescent="0.2"/>
    <row r="37" ht="15" customHeight="1" x14ac:dyDescent="0.2"/>
    <row r="38" ht="15" customHeight="1" x14ac:dyDescent="0.2"/>
    <row r="39" ht="15" customHeight="1" x14ac:dyDescent="0.2"/>
    <row r="40" ht="15" customHeight="1" x14ac:dyDescent="0.2"/>
    <row r="41" ht="15" customHeight="1" x14ac:dyDescent="0.2"/>
    <row r="42" ht="15" customHeight="1" x14ac:dyDescent="0.2"/>
    <row r="43" ht="15" customHeight="1" x14ac:dyDescent="0.2"/>
    <row r="44" ht="15" customHeight="1" x14ac:dyDescent="0.2"/>
    <row r="45" ht="15" customHeight="1" x14ac:dyDescent="0.2"/>
    <row r="46" ht="15" customHeight="1" x14ac:dyDescent="0.2"/>
    <row r="47" ht="15" customHeight="1" x14ac:dyDescent="0.2"/>
    <row r="48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  <row r="56" ht="15" customHeight="1" x14ac:dyDescent="0.2"/>
    <row r="57" ht="15" customHeight="1" x14ac:dyDescent="0.2"/>
    <row r="58" ht="15" customHeight="1" x14ac:dyDescent="0.2"/>
    <row r="59" ht="15" customHeight="1" x14ac:dyDescent="0.2"/>
    <row r="60" ht="15" customHeight="1" x14ac:dyDescent="0.2"/>
    <row r="61" ht="15" customHeight="1" x14ac:dyDescent="0.2"/>
    <row r="62" ht="15" customHeight="1" x14ac:dyDescent="0.2"/>
    <row r="63" ht="15" customHeight="1" x14ac:dyDescent="0.2"/>
    <row r="64" ht="15" customHeight="1" x14ac:dyDescent="0.2"/>
  </sheetData>
  <sheetProtection selectLockedCells="1" selectUnlockedCells="1"/>
  <pageMargins left="0.7006944444444444" right="0.7006944444444444" top="1.5395833333333333" bottom="1.5395833333333333" header="0.75208333333333333" footer="0.75208333333333333"/>
  <pageSetup paperSize="9" orientation="portrait" useFirstPageNumber="1" horizontalDpi="300" verticalDpi="300"/>
  <headerFooter scaleWithDoc="0"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E7BA7-ADF5-471B-BC43-E80655344C40}">
  <dimension ref="A1:G30"/>
  <sheetViews>
    <sheetView showGridLines="0" workbookViewId="0"/>
  </sheetViews>
  <sheetFormatPr baseColWidth="10" defaultRowHeight="14.25" x14ac:dyDescent="0.2"/>
  <cols>
    <col min="1" max="1" width="2.125" customWidth="1"/>
    <col min="2" max="2" width="6.125" bestFit="1" customWidth="1"/>
    <col min="3" max="3" width="14.625" bestFit="1" customWidth="1"/>
    <col min="4" max="4" width="15.375" bestFit="1" customWidth="1"/>
    <col min="5" max="5" width="13.75" bestFit="1" customWidth="1"/>
    <col min="6" max="6" width="9.25" bestFit="1" customWidth="1"/>
    <col min="7" max="7" width="7.75" bestFit="1" customWidth="1"/>
  </cols>
  <sheetData>
    <row r="1" spans="1:5" ht="15" x14ac:dyDescent="0.25">
      <c r="A1" s="2" t="s">
        <v>197</v>
      </c>
    </row>
    <row r="2" spans="1:5" ht="15" x14ac:dyDescent="0.25">
      <c r="A2" s="2" t="s">
        <v>257</v>
      </c>
    </row>
    <row r="3" spans="1:5" ht="15" x14ac:dyDescent="0.25">
      <c r="A3" s="2" t="s">
        <v>258</v>
      </c>
    </row>
    <row r="4" spans="1:5" ht="15" x14ac:dyDescent="0.25">
      <c r="A4" s="2" t="s">
        <v>200</v>
      </c>
    </row>
    <row r="5" spans="1:5" ht="15" x14ac:dyDescent="0.25">
      <c r="A5" s="2" t="s">
        <v>201</v>
      </c>
    </row>
    <row r="6" spans="1:5" ht="15" x14ac:dyDescent="0.25">
      <c r="A6" s="2"/>
      <c r="B6" t="s">
        <v>202</v>
      </c>
    </row>
    <row r="7" spans="1:5" ht="15" x14ac:dyDescent="0.25">
      <c r="A7" s="2"/>
      <c r="B7" t="s">
        <v>230</v>
      </c>
    </row>
    <row r="8" spans="1:5" ht="15" x14ac:dyDescent="0.25">
      <c r="A8" s="2"/>
      <c r="B8" t="s">
        <v>242</v>
      </c>
    </row>
    <row r="9" spans="1:5" ht="15" x14ac:dyDescent="0.25">
      <c r="A9" s="2" t="s">
        <v>205</v>
      </c>
    </row>
    <row r="10" spans="1:5" x14ac:dyDescent="0.2">
      <c r="B10" t="s">
        <v>259</v>
      </c>
    </row>
    <row r="11" spans="1:5" x14ac:dyDescent="0.2">
      <c r="B11" t="s">
        <v>207</v>
      </c>
    </row>
    <row r="14" spans="1:5" ht="15" thickBot="1" x14ac:dyDescent="0.25">
      <c r="A14" t="s">
        <v>233</v>
      </c>
    </row>
    <row r="15" spans="1:5" ht="15.75" thickBot="1" x14ac:dyDescent="0.3">
      <c r="B15" s="9" t="s">
        <v>1</v>
      </c>
      <c r="C15" s="9" t="s">
        <v>2</v>
      </c>
      <c r="D15" s="9" t="s">
        <v>209</v>
      </c>
      <c r="E15" s="9" t="s">
        <v>210</v>
      </c>
    </row>
    <row r="16" spans="1:5" ht="15" thickBot="1" x14ac:dyDescent="0.25">
      <c r="B16" s="4" t="s">
        <v>234</v>
      </c>
      <c r="C16" s="4" t="s">
        <v>98</v>
      </c>
      <c r="D16" s="4">
        <v>40000</v>
      </c>
      <c r="E16" s="4">
        <v>40000</v>
      </c>
    </row>
    <row r="19" spans="1:7" ht="15" thickBot="1" x14ac:dyDescent="0.25">
      <c r="A19" t="s">
        <v>9</v>
      </c>
    </row>
    <row r="20" spans="1:7" ht="15.75" thickBot="1" x14ac:dyDescent="0.3">
      <c r="B20" s="9" t="s">
        <v>1</v>
      </c>
      <c r="C20" s="9" t="s">
        <v>2</v>
      </c>
      <c r="D20" s="9" t="s">
        <v>209</v>
      </c>
      <c r="E20" s="9" t="s">
        <v>210</v>
      </c>
      <c r="F20" s="9" t="s">
        <v>211</v>
      </c>
    </row>
    <row r="21" spans="1:7" x14ac:dyDescent="0.2">
      <c r="B21" s="3" t="s">
        <v>76</v>
      </c>
      <c r="C21" s="3" t="s">
        <v>47</v>
      </c>
      <c r="D21" s="3">
        <v>11.428571428571431</v>
      </c>
      <c r="E21" s="3">
        <v>11.428571428571431</v>
      </c>
      <c r="F21" s="3" t="s">
        <v>217</v>
      </c>
    </row>
    <row r="22" spans="1:7" x14ac:dyDescent="0.2">
      <c r="B22" s="3" t="s">
        <v>78</v>
      </c>
      <c r="C22" s="3" t="s">
        <v>48</v>
      </c>
      <c r="D22" s="3">
        <v>5.7142857142857153</v>
      </c>
      <c r="E22" s="3">
        <v>5.7142857142857153</v>
      </c>
      <c r="F22" s="3" t="s">
        <v>217</v>
      </c>
    </row>
    <row r="23" spans="1:7" ht="15" thickBot="1" x14ac:dyDescent="0.25">
      <c r="B23" s="4" t="s">
        <v>79</v>
      </c>
      <c r="C23" s="4" t="s">
        <v>99</v>
      </c>
      <c r="D23" s="4">
        <v>5.7142857142857135</v>
      </c>
      <c r="E23" s="4">
        <v>5.7142857142857135</v>
      </c>
      <c r="F23" s="4" t="s">
        <v>217</v>
      </c>
    </row>
    <row r="26" spans="1:7" ht="15" thickBot="1" x14ac:dyDescent="0.25">
      <c r="A26" t="s">
        <v>10</v>
      </c>
    </row>
    <row r="27" spans="1:7" ht="15.75" thickBot="1" x14ac:dyDescent="0.3">
      <c r="B27" s="9" t="s">
        <v>1</v>
      </c>
      <c r="C27" s="9" t="s">
        <v>2</v>
      </c>
      <c r="D27" s="9" t="s">
        <v>212</v>
      </c>
      <c r="E27" s="9" t="s">
        <v>213</v>
      </c>
      <c r="F27" s="9" t="s">
        <v>214</v>
      </c>
      <c r="G27" s="9" t="s">
        <v>215</v>
      </c>
    </row>
    <row r="28" spans="1:7" x14ac:dyDescent="0.2">
      <c r="B28" s="3" t="s">
        <v>100</v>
      </c>
      <c r="C28" s="3" t="s">
        <v>101</v>
      </c>
      <c r="D28" s="3">
        <v>0</v>
      </c>
      <c r="E28" s="3" t="s">
        <v>260</v>
      </c>
      <c r="F28" s="3" t="s">
        <v>219</v>
      </c>
      <c r="G28" s="3">
        <v>0</v>
      </c>
    </row>
    <row r="29" spans="1:7" x14ac:dyDescent="0.2">
      <c r="B29" s="3" t="s">
        <v>102</v>
      </c>
      <c r="C29" s="3" t="s">
        <v>103</v>
      </c>
      <c r="D29" s="3">
        <v>1.7763568394002505E-15</v>
      </c>
      <c r="E29" s="3" t="s">
        <v>261</v>
      </c>
      <c r="F29" s="3" t="s">
        <v>219</v>
      </c>
      <c r="G29" s="3">
        <v>0</v>
      </c>
    </row>
    <row r="30" spans="1:7" ht="15" thickBot="1" x14ac:dyDescent="0.25">
      <c r="B30" s="4" t="s">
        <v>104</v>
      </c>
      <c r="C30" s="4" t="s">
        <v>105</v>
      </c>
      <c r="D30" s="4">
        <v>40</v>
      </c>
      <c r="E30" s="4" t="s">
        <v>262</v>
      </c>
      <c r="F30" s="4" t="s">
        <v>219</v>
      </c>
      <c r="G30" s="4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DB9D1-B8D7-473D-A452-A1992B6E2D7E}">
  <dimension ref="A1:J15"/>
  <sheetViews>
    <sheetView showGridLines="0" workbookViewId="0">
      <selection sqref="A1:A3"/>
    </sheetView>
  </sheetViews>
  <sheetFormatPr baseColWidth="10" defaultRowHeight="14.25" x14ac:dyDescent="0.2"/>
  <cols>
    <col min="1" max="1" width="2.125" customWidth="1"/>
    <col min="2" max="2" width="6" bestFit="1" customWidth="1"/>
    <col min="3" max="3" width="8" bestFit="1" customWidth="1"/>
    <col min="4" max="4" width="5.875" bestFit="1" customWidth="1"/>
    <col min="5" max="5" width="2.125" customWidth="1"/>
    <col min="6" max="6" width="7.375" bestFit="1" customWidth="1"/>
    <col min="7" max="7" width="9.875" bestFit="1" customWidth="1"/>
    <col min="8" max="8" width="2.125" customWidth="1"/>
    <col min="9" max="9" width="8.625" bestFit="1" customWidth="1"/>
    <col min="10" max="10" width="9.875" bestFit="1" customWidth="1"/>
  </cols>
  <sheetData>
    <row r="1" spans="1:10" ht="15" x14ac:dyDescent="0.25">
      <c r="A1" s="2" t="s">
        <v>221</v>
      </c>
    </row>
    <row r="2" spans="1:10" ht="15" x14ac:dyDescent="0.25">
      <c r="A2" s="2" t="s">
        <v>257</v>
      </c>
    </row>
    <row r="3" spans="1:10" ht="15" x14ac:dyDescent="0.25">
      <c r="A3" s="2" t="s">
        <v>258</v>
      </c>
    </row>
    <row r="5" spans="1:10" ht="15" thickBot="1" x14ac:dyDescent="0.25"/>
    <row r="6" spans="1:10" ht="15" x14ac:dyDescent="0.25">
      <c r="B6" s="5"/>
      <c r="C6" s="5" t="s">
        <v>0</v>
      </c>
      <c r="D6" s="5"/>
    </row>
    <row r="7" spans="1:10" ht="15.75" thickBot="1" x14ac:dyDescent="0.3">
      <c r="B7" s="6" t="s">
        <v>1</v>
      </c>
      <c r="C7" s="6" t="s">
        <v>2</v>
      </c>
      <c r="D7" s="6" t="s">
        <v>3</v>
      </c>
    </row>
    <row r="8" spans="1:10" ht="15" thickBot="1" x14ac:dyDescent="0.25">
      <c r="B8" s="4" t="s">
        <v>234</v>
      </c>
      <c r="C8" s="4" t="s">
        <v>98</v>
      </c>
      <c r="D8" s="4">
        <v>40000</v>
      </c>
    </row>
    <row r="10" spans="1:10" ht="15" thickBot="1" x14ac:dyDescent="0.25"/>
    <row r="11" spans="1:10" ht="15" x14ac:dyDescent="0.25">
      <c r="B11" s="5"/>
      <c r="C11" s="5" t="s">
        <v>222</v>
      </c>
      <c r="D11" s="5"/>
      <c r="F11" s="5" t="s">
        <v>223</v>
      </c>
      <c r="G11" s="5" t="s">
        <v>0</v>
      </c>
      <c r="I11" s="5" t="s">
        <v>226</v>
      </c>
      <c r="J11" s="5" t="s">
        <v>0</v>
      </c>
    </row>
    <row r="12" spans="1:10" ht="15.75" thickBot="1" x14ac:dyDescent="0.3">
      <c r="B12" s="6" t="s">
        <v>1</v>
      </c>
      <c r="C12" s="6" t="s">
        <v>2</v>
      </c>
      <c r="D12" s="6" t="s">
        <v>3</v>
      </c>
      <c r="F12" s="6" t="s">
        <v>224</v>
      </c>
      <c r="G12" s="6" t="s">
        <v>225</v>
      </c>
      <c r="I12" s="6" t="s">
        <v>224</v>
      </c>
      <c r="J12" s="6" t="s">
        <v>225</v>
      </c>
    </row>
    <row r="13" spans="1:10" x14ac:dyDescent="0.2">
      <c r="B13" s="3" t="s">
        <v>76</v>
      </c>
      <c r="C13" s="3" t="s">
        <v>47</v>
      </c>
      <c r="D13" s="3">
        <v>11.428571428571431</v>
      </c>
      <c r="F13" s="3">
        <v>11.428571428571431</v>
      </c>
      <c r="G13" s="3">
        <v>40000</v>
      </c>
      <c r="I13" s="3">
        <v>11.428571428571431</v>
      </c>
      <c r="J13" s="3">
        <v>40000</v>
      </c>
    </row>
    <row r="14" spans="1:10" x14ac:dyDescent="0.2">
      <c r="B14" s="3" t="s">
        <v>78</v>
      </c>
      <c r="C14" s="3" t="s">
        <v>48</v>
      </c>
      <c r="D14" s="3">
        <v>5.7142857142857153</v>
      </c>
      <c r="F14" s="3">
        <v>5.7142857142857135</v>
      </c>
      <c r="G14" s="3">
        <v>40000</v>
      </c>
      <c r="I14" s="3">
        <v>5.7142857142857135</v>
      </c>
      <c r="J14" s="3">
        <v>40000</v>
      </c>
    </row>
    <row r="15" spans="1:10" ht="15" thickBot="1" x14ac:dyDescent="0.25">
      <c r="B15" s="4" t="s">
        <v>79</v>
      </c>
      <c r="C15" s="4" t="s">
        <v>99</v>
      </c>
      <c r="D15" s="4">
        <v>5.7142857142857135</v>
      </c>
      <c r="F15" s="4">
        <v>0</v>
      </c>
      <c r="G15" s="4">
        <v>20000.000000000004</v>
      </c>
      <c r="I15" s="4">
        <v>5.7142857142857126</v>
      </c>
      <c r="J15" s="4">
        <v>40000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B9723-9877-44E6-8738-FCA97A891852}">
  <dimension ref="A1:H18"/>
  <sheetViews>
    <sheetView showGridLines="0" workbookViewId="0"/>
  </sheetViews>
  <sheetFormatPr baseColWidth="10" defaultRowHeight="14.25" x14ac:dyDescent="0.2"/>
  <cols>
    <col min="1" max="1" width="2.125" customWidth="1"/>
    <col min="2" max="2" width="6.125" bestFit="1" customWidth="1"/>
    <col min="3" max="3" width="14.625" bestFit="1" customWidth="1"/>
    <col min="4" max="4" width="12.25" bestFit="1" customWidth="1"/>
    <col min="5" max="5" width="9.375" bestFit="1" customWidth="1"/>
    <col min="6" max="6" width="13.125" bestFit="1" customWidth="1"/>
    <col min="7" max="8" width="11.875" bestFit="1" customWidth="1"/>
  </cols>
  <sheetData>
    <row r="1" spans="1:8" ht="15" x14ac:dyDescent="0.25">
      <c r="A1" s="2" t="s">
        <v>149</v>
      </c>
    </row>
    <row r="2" spans="1:8" ht="15" x14ac:dyDescent="0.25">
      <c r="A2" s="2" t="s">
        <v>186</v>
      </c>
    </row>
    <row r="3" spans="1:8" ht="15" x14ac:dyDescent="0.25">
      <c r="A3" s="2" t="s">
        <v>187</v>
      </c>
    </row>
    <row r="6" spans="1:8" ht="15" thickBot="1" x14ac:dyDescent="0.25">
      <c r="A6" t="s">
        <v>9</v>
      </c>
    </row>
    <row r="7" spans="1:8" ht="15" x14ac:dyDescent="0.25">
      <c r="B7" s="5"/>
      <c r="C7" s="5"/>
      <c r="D7" s="5" t="s">
        <v>13</v>
      </c>
      <c r="E7" s="5" t="s">
        <v>14</v>
      </c>
      <c r="F7" s="5" t="s">
        <v>0</v>
      </c>
      <c r="G7" s="5" t="s">
        <v>15</v>
      </c>
      <c r="H7" s="5" t="s">
        <v>15</v>
      </c>
    </row>
    <row r="8" spans="1:8" ht="15.75" thickBot="1" x14ac:dyDescent="0.3">
      <c r="B8" s="6" t="s">
        <v>1</v>
      </c>
      <c r="C8" s="6" t="s">
        <v>2</v>
      </c>
      <c r="D8" s="6" t="s">
        <v>3</v>
      </c>
      <c r="E8" s="6" t="s">
        <v>16</v>
      </c>
      <c r="F8" s="6" t="s">
        <v>17</v>
      </c>
      <c r="G8" s="6" t="s">
        <v>150</v>
      </c>
      <c r="H8" s="6" t="s">
        <v>151</v>
      </c>
    </row>
    <row r="9" spans="1:8" x14ac:dyDescent="0.2">
      <c r="B9" s="3" t="s">
        <v>76</v>
      </c>
      <c r="C9" s="3" t="s">
        <v>47</v>
      </c>
      <c r="D9" s="3">
        <v>11.428571428571431</v>
      </c>
      <c r="E9" s="3">
        <v>0</v>
      </c>
      <c r="F9" s="3">
        <v>700</v>
      </c>
      <c r="G9" s="3">
        <v>420</v>
      </c>
      <c r="H9" s="3">
        <v>3500</v>
      </c>
    </row>
    <row r="10" spans="1:8" x14ac:dyDescent="0.2">
      <c r="B10" s="3" t="s">
        <v>78</v>
      </c>
      <c r="C10" s="3" t="s">
        <v>48</v>
      </c>
      <c r="D10" s="3">
        <v>5.7142857142857153</v>
      </c>
      <c r="E10" s="3">
        <v>0</v>
      </c>
      <c r="F10" s="3">
        <v>2100</v>
      </c>
      <c r="G10" s="3">
        <v>1166.6666666666667</v>
      </c>
      <c r="H10" s="3">
        <v>2100</v>
      </c>
    </row>
    <row r="11" spans="1:8" ht="15" thickBot="1" x14ac:dyDescent="0.25">
      <c r="B11" s="4" t="s">
        <v>79</v>
      </c>
      <c r="C11" s="4" t="s">
        <v>99</v>
      </c>
      <c r="D11" s="4">
        <v>5.7142857142857135</v>
      </c>
      <c r="E11" s="4">
        <v>0</v>
      </c>
      <c r="F11" s="4">
        <v>3500</v>
      </c>
      <c r="G11" s="4">
        <v>1E+30</v>
      </c>
      <c r="H11" s="4">
        <v>875</v>
      </c>
    </row>
    <row r="13" spans="1:8" ht="15" thickBot="1" x14ac:dyDescent="0.25">
      <c r="A13" t="s">
        <v>10</v>
      </c>
    </row>
    <row r="14" spans="1:8" ht="15" x14ac:dyDescent="0.25">
      <c r="B14" s="5"/>
      <c r="C14" s="5"/>
      <c r="D14" s="5" t="s">
        <v>13</v>
      </c>
      <c r="E14" s="5" t="s">
        <v>18</v>
      </c>
      <c r="F14" s="5" t="s">
        <v>19</v>
      </c>
      <c r="G14" s="5" t="s">
        <v>15</v>
      </c>
      <c r="H14" s="5" t="s">
        <v>15</v>
      </c>
    </row>
    <row r="15" spans="1:8" ht="15.75" thickBot="1" x14ac:dyDescent="0.3">
      <c r="B15" s="6" t="s">
        <v>1</v>
      </c>
      <c r="C15" s="6" t="s">
        <v>2</v>
      </c>
      <c r="D15" s="6" t="s">
        <v>3</v>
      </c>
      <c r="E15" s="6" t="s">
        <v>20</v>
      </c>
      <c r="F15" s="6" t="s">
        <v>21</v>
      </c>
      <c r="G15" s="6" t="s">
        <v>150</v>
      </c>
      <c r="H15" s="6" t="s">
        <v>151</v>
      </c>
    </row>
    <row r="16" spans="1:8" x14ac:dyDescent="0.2">
      <c r="B16" s="3" t="s">
        <v>100</v>
      </c>
      <c r="C16" s="3" t="s">
        <v>101</v>
      </c>
      <c r="D16" s="3">
        <v>0</v>
      </c>
      <c r="E16" s="3">
        <v>-300</v>
      </c>
      <c r="F16" s="3">
        <v>0</v>
      </c>
      <c r="G16" s="3">
        <v>40</v>
      </c>
      <c r="H16" s="3">
        <v>16.000000000000004</v>
      </c>
    </row>
    <row r="17" spans="2:8" x14ac:dyDescent="0.2">
      <c r="B17" s="3" t="s">
        <v>102</v>
      </c>
      <c r="C17" s="3" t="s">
        <v>103</v>
      </c>
      <c r="D17" s="3">
        <v>1.7763568394002505E-15</v>
      </c>
      <c r="E17" s="3">
        <v>-500</v>
      </c>
      <c r="F17" s="3">
        <v>0</v>
      </c>
      <c r="G17" s="3">
        <v>10</v>
      </c>
      <c r="H17" s="3">
        <v>13.333333333333336</v>
      </c>
    </row>
    <row r="18" spans="2:8" ht="15" thickBot="1" x14ac:dyDescent="0.25">
      <c r="B18" s="4" t="s">
        <v>104</v>
      </c>
      <c r="C18" s="4" t="s">
        <v>105</v>
      </c>
      <c r="D18" s="4">
        <v>40</v>
      </c>
      <c r="E18" s="4">
        <v>1000</v>
      </c>
      <c r="F18" s="4">
        <v>40</v>
      </c>
      <c r="G18" s="4">
        <v>1E+30</v>
      </c>
      <c r="H18" s="4">
        <v>40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BCADC-0B7E-4C80-81B8-32D933AB6054}">
  <dimension ref="A1:G64"/>
  <sheetViews>
    <sheetView workbookViewId="0">
      <selection activeCell="E7" sqref="E7"/>
    </sheetView>
  </sheetViews>
  <sheetFormatPr baseColWidth="10" defaultColWidth="12.375" defaultRowHeight="14.25" x14ac:dyDescent="0.2"/>
  <cols>
    <col min="1" max="1" width="21.125" bestFit="1" customWidth="1"/>
    <col min="2" max="2" width="5.25" bestFit="1" customWidth="1"/>
    <col min="3" max="3" width="5.5" bestFit="1" customWidth="1"/>
    <col min="4" max="4" width="7.125" bestFit="1" customWidth="1"/>
    <col min="6" max="6" width="2.625" bestFit="1" customWidth="1"/>
    <col min="7" max="7" width="14.375" bestFit="1" customWidth="1"/>
  </cols>
  <sheetData>
    <row r="1" spans="1:7" ht="13.9" customHeight="1" x14ac:dyDescent="0.25">
      <c r="A1" s="8" t="s">
        <v>111</v>
      </c>
      <c r="B1" s="7">
        <f>SUMPRODUCT(B4:D4,B5:D5)</f>
        <v>1625</v>
      </c>
      <c r="C1" s="7"/>
      <c r="D1" s="7"/>
      <c r="E1" s="7"/>
      <c r="F1" s="7"/>
      <c r="G1" s="7"/>
    </row>
    <row r="2" spans="1:7" ht="13.9" customHeight="1" x14ac:dyDescent="0.25">
      <c r="A2" s="7"/>
      <c r="B2" s="7"/>
      <c r="C2" s="7"/>
      <c r="D2" s="7"/>
      <c r="E2" s="7"/>
      <c r="F2" s="7"/>
      <c r="G2" s="7"/>
    </row>
    <row r="3" spans="1:7" ht="13.9" customHeight="1" x14ac:dyDescent="0.25">
      <c r="A3" s="8" t="s">
        <v>112</v>
      </c>
      <c r="B3" s="8" t="s">
        <v>113</v>
      </c>
      <c r="C3" s="8" t="s">
        <v>114</v>
      </c>
      <c r="D3" s="8" t="s">
        <v>115</v>
      </c>
      <c r="E3" s="7"/>
      <c r="F3" s="7"/>
      <c r="G3" s="7"/>
    </row>
    <row r="4" spans="1:7" ht="13.9" customHeight="1" x14ac:dyDescent="0.25">
      <c r="A4" s="8" t="s">
        <v>116</v>
      </c>
      <c r="B4" s="7">
        <v>937.5</v>
      </c>
      <c r="C4" s="7">
        <v>125</v>
      </c>
      <c r="D4" s="7">
        <v>562.50000000000011</v>
      </c>
      <c r="E4" s="7"/>
      <c r="F4" s="7"/>
      <c r="G4" s="7"/>
    </row>
    <row r="5" spans="1:7" ht="13.9" customHeight="1" x14ac:dyDescent="0.25">
      <c r="A5" s="7"/>
      <c r="B5" s="7">
        <v>1</v>
      </c>
      <c r="C5" s="7">
        <v>1</v>
      </c>
      <c r="D5" s="7">
        <v>1</v>
      </c>
      <c r="E5" s="7"/>
      <c r="F5" s="7"/>
      <c r="G5" s="7"/>
    </row>
    <row r="6" spans="1:7" ht="13.9" customHeight="1" x14ac:dyDescent="0.25">
      <c r="A6" s="8" t="s">
        <v>27</v>
      </c>
      <c r="B6" s="8"/>
      <c r="C6" s="7"/>
      <c r="D6" s="7"/>
      <c r="E6" s="7"/>
      <c r="F6" s="7"/>
      <c r="G6" s="8" t="s">
        <v>117</v>
      </c>
    </row>
    <row r="7" spans="1:7" ht="13.9" customHeight="1" x14ac:dyDescent="0.25">
      <c r="A7" s="8" t="s">
        <v>118</v>
      </c>
      <c r="B7" s="8">
        <v>0.2</v>
      </c>
      <c r="C7" s="8">
        <v>0.1</v>
      </c>
      <c r="D7" s="8">
        <v>0</v>
      </c>
      <c r="E7" s="8">
        <f>SUMPRODUCT(B4:D4,B7:D7)</f>
        <v>200</v>
      </c>
      <c r="F7" s="8" t="s">
        <v>30</v>
      </c>
      <c r="G7" s="8">
        <v>200</v>
      </c>
    </row>
    <row r="8" spans="1:7" ht="13.9" customHeight="1" x14ac:dyDescent="0.25">
      <c r="A8" s="8" t="s">
        <v>119</v>
      </c>
      <c r="B8" s="8">
        <v>0.5</v>
      </c>
      <c r="C8" s="8">
        <v>0.4</v>
      </c>
      <c r="D8" s="8">
        <v>0.5</v>
      </c>
      <c r="E8" s="8">
        <f>SUMPRODUCT(B4:D4,B8:D8)</f>
        <v>800</v>
      </c>
      <c r="F8" s="8" t="s">
        <v>30</v>
      </c>
      <c r="G8" s="8">
        <v>800</v>
      </c>
    </row>
    <row r="9" spans="1:7" ht="13.9" customHeight="1" x14ac:dyDescent="0.25">
      <c r="A9" s="8" t="s">
        <v>120</v>
      </c>
      <c r="B9" s="8">
        <v>0</v>
      </c>
      <c r="C9" s="8">
        <v>0.30000000000000004</v>
      </c>
      <c r="D9" s="8">
        <v>0.2</v>
      </c>
      <c r="E9" s="8">
        <f>SUMPRODUCT(B4:D4,B9:D9)</f>
        <v>150.00000000000003</v>
      </c>
      <c r="F9" s="8" t="s">
        <v>30</v>
      </c>
      <c r="G9" s="8">
        <v>150</v>
      </c>
    </row>
    <row r="10" spans="1:7" ht="13.9" customHeight="1" x14ac:dyDescent="0.25">
      <c r="A10" s="1"/>
      <c r="B10" s="1"/>
      <c r="C10" s="1"/>
      <c r="D10" s="1"/>
    </row>
    <row r="11" spans="1:7" ht="13.9" customHeight="1" x14ac:dyDescent="0.2"/>
    <row r="12" spans="1:7" ht="15" customHeight="1" x14ac:dyDescent="0.2"/>
    <row r="13" spans="1:7" ht="15" customHeight="1" x14ac:dyDescent="0.2"/>
    <row r="14" spans="1:7" ht="15" customHeight="1" x14ac:dyDescent="0.2"/>
    <row r="15" spans="1:7" ht="15" customHeight="1" x14ac:dyDescent="0.2"/>
    <row r="16" spans="1:7" ht="15" customHeight="1" x14ac:dyDescent="0.2"/>
    <row r="17" ht="15" customHeight="1" x14ac:dyDescent="0.2"/>
    <row r="18" ht="15" customHeight="1" x14ac:dyDescent="0.2"/>
    <row r="19" ht="15" customHeight="1" x14ac:dyDescent="0.2"/>
    <row r="20" ht="15" customHeight="1" x14ac:dyDescent="0.2"/>
    <row r="21" ht="15" customHeight="1" x14ac:dyDescent="0.2"/>
    <row r="22" ht="15" customHeight="1" x14ac:dyDescent="0.2"/>
    <row r="23" ht="15" customHeight="1" x14ac:dyDescent="0.2"/>
    <row r="24" ht="15" customHeight="1" x14ac:dyDescent="0.2"/>
    <row r="25" ht="15" customHeight="1" x14ac:dyDescent="0.2"/>
    <row r="26" ht="15" customHeight="1" x14ac:dyDescent="0.2"/>
    <row r="27" ht="15" customHeight="1" x14ac:dyDescent="0.2"/>
    <row r="28" ht="15" customHeight="1" x14ac:dyDescent="0.2"/>
    <row r="29" ht="15" customHeight="1" x14ac:dyDescent="0.2"/>
    <row r="30" ht="15" customHeight="1" x14ac:dyDescent="0.2"/>
    <row r="31" ht="15" customHeight="1" x14ac:dyDescent="0.2"/>
    <row r="32" ht="15" customHeight="1" x14ac:dyDescent="0.2"/>
    <row r="33" ht="15" customHeight="1" x14ac:dyDescent="0.2"/>
    <row r="34" ht="15" customHeight="1" x14ac:dyDescent="0.2"/>
    <row r="35" ht="15" customHeight="1" x14ac:dyDescent="0.2"/>
    <row r="36" ht="15" customHeight="1" x14ac:dyDescent="0.2"/>
    <row r="37" ht="15" customHeight="1" x14ac:dyDescent="0.2"/>
    <row r="38" ht="15" customHeight="1" x14ac:dyDescent="0.2"/>
    <row r="39" ht="15" customHeight="1" x14ac:dyDescent="0.2"/>
    <row r="40" ht="15" customHeight="1" x14ac:dyDescent="0.2"/>
    <row r="41" ht="15" customHeight="1" x14ac:dyDescent="0.2"/>
    <row r="42" ht="15" customHeight="1" x14ac:dyDescent="0.2"/>
    <row r="43" ht="15" customHeight="1" x14ac:dyDescent="0.2"/>
    <row r="44" ht="15" customHeight="1" x14ac:dyDescent="0.2"/>
    <row r="45" ht="15" customHeight="1" x14ac:dyDescent="0.2"/>
    <row r="46" ht="15" customHeight="1" x14ac:dyDescent="0.2"/>
    <row r="47" ht="15" customHeight="1" x14ac:dyDescent="0.2"/>
    <row r="48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  <row r="56" ht="15" customHeight="1" x14ac:dyDescent="0.2"/>
    <row r="57" ht="15" customHeight="1" x14ac:dyDescent="0.2"/>
    <row r="58" ht="15" customHeight="1" x14ac:dyDescent="0.2"/>
    <row r="59" ht="15" customHeight="1" x14ac:dyDescent="0.2"/>
    <row r="60" ht="15" customHeight="1" x14ac:dyDescent="0.2"/>
    <row r="61" ht="15" customHeight="1" x14ac:dyDescent="0.2"/>
    <row r="62" ht="15" customHeight="1" x14ac:dyDescent="0.2"/>
    <row r="63" ht="15" customHeight="1" x14ac:dyDescent="0.2"/>
    <row r="64" ht="15" customHeight="1" x14ac:dyDescent="0.2"/>
  </sheetData>
  <sheetProtection selectLockedCells="1" selectUnlockedCells="1"/>
  <pageMargins left="0.78749999999999998" right="0.78749999999999998" top="2.7944444444444443" bottom="2.7944444444444443" header="1.8402777777777777" footer="1.8402777777777777"/>
  <pageSetup paperSize="9" orientation="portrait" useFirstPageNumber="1" horizontalDpi="300" verticalDpi="300"/>
  <headerFooter scaleWithDoc="0" alignWithMargins="0">
    <oddHeader>&amp;C&amp;"Times New Roman,Regular"&amp;12&amp;A</oddHeader>
    <oddFooter>&amp;C&amp;"Times New Roman,Regular"&amp;12Página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586A2-632A-4F25-ABAC-6E098629E4FB}">
  <dimension ref="A1:J15"/>
  <sheetViews>
    <sheetView showGridLines="0" workbookViewId="0">
      <selection sqref="A1:A3"/>
    </sheetView>
  </sheetViews>
  <sheetFormatPr baseColWidth="10" defaultRowHeight="14.25" x14ac:dyDescent="0.2"/>
  <cols>
    <col min="1" max="1" width="2.125" customWidth="1"/>
    <col min="2" max="2" width="6" bestFit="1" customWidth="1"/>
    <col min="3" max="3" width="8" bestFit="1" customWidth="1"/>
    <col min="4" max="4" width="5.375" bestFit="1" customWidth="1"/>
    <col min="5" max="5" width="2.125" customWidth="1"/>
    <col min="6" max="6" width="7.375" bestFit="1" customWidth="1"/>
    <col min="7" max="7" width="9.875" bestFit="1" customWidth="1"/>
    <col min="8" max="8" width="2.125" customWidth="1"/>
    <col min="9" max="9" width="8.625" bestFit="1" customWidth="1"/>
    <col min="10" max="10" width="9.875" bestFit="1" customWidth="1"/>
  </cols>
  <sheetData>
    <row r="1" spans="1:10" ht="15" x14ac:dyDescent="0.25">
      <c r="A1" s="2" t="s">
        <v>221</v>
      </c>
    </row>
    <row r="2" spans="1:10" ht="15" x14ac:dyDescent="0.25">
      <c r="A2" s="2" t="s">
        <v>263</v>
      </c>
    </row>
    <row r="3" spans="1:10" ht="15" x14ac:dyDescent="0.25">
      <c r="A3" s="2" t="s">
        <v>264</v>
      </c>
    </row>
    <row r="5" spans="1:10" ht="15" thickBot="1" x14ac:dyDescent="0.25"/>
    <row r="6" spans="1:10" ht="15" x14ac:dyDescent="0.25">
      <c r="B6" s="5"/>
      <c r="C6" s="5" t="s">
        <v>0</v>
      </c>
      <c r="D6" s="5"/>
    </row>
    <row r="7" spans="1:10" ht="15.75" thickBot="1" x14ac:dyDescent="0.3">
      <c r="B7" s="6" t="s">
        <v>1</v>
      </c>
      <c r="C7" s="6" t="s">
        <v>2</v>
      </c>
      <c r="D7" s="6" t="s">
        <v>3</v>
      </c>
    </row>
    <row r="8" spans="1:10" ht="15" thickBot="1" x14ac:dyDescent="0.25">
      <c r="B8" s="4" t="s">
        <v>234</v>
      </c>
      <c r="C8" s="4" t="s">
        <v>267</v>
      </c>
      <c r="D8" s="4">
        <v>1625</v>
      </c>
    </row>
    <row r="10" spans="1:10" ht="15" thickBot="1" x14ac:dyDescent="0.25"/>
    <row r="11" spans="1:10" ht="15" x14ac:dyDescent="0.25">
      <c r="B11" s="5"/>
      <c r="C11" s="5" t="s">
        <v>222</v>
      </c>
      <c r="D11" s="5"/>
      <c r="F11" s="5" t="s">
        <v>223</v>
      </c>
      <c r="G11" s="5" t="s">
        <v>0</v>
      </c>
      <c r="I11" s="5" t="s">
        <v>226</v>
      </c>
      <c r="J11" s="5" t="s">
        <v>0</v>
      </c>
    </row>
    <row r="12" spans="1:10" ht="15.75" thickBot="1" x14ac:dyDescent="0.3">
      <c r="B12" s="6" t="s">
        <v>1</v>
      </c>
      <c r="C12" s="6" t="s">
        <v>2</v>
      </c>
      <c r="D12" s="6" t="s">
        <v>3</v>
      </c>
      <c r="F12" s="6" t="s">
        <v>224</v>
      </c>
      <c r="G12" s="6" t="s">
        <v>225</v>
      </c>
      <c r="I12" s="6" t="s">
        <v>224</v>
      </c>
      <c r="J12" s="6" t="s">
        <v>225</v>
      </c>
    </row>
    <row r="13" spans="1:10" x14ac:dyDescent="0.2">
      <c r="B13" s="3" t="s">
        <v>76</v>
      </c>
      <c r="C13" s="3" t="s">
        <v>154</v>
      </c>
      <c r="D13" s="3">
        <v>937.5</v>
      </c>
      <c r="F13" s="3" t="s">
        <v>227</v>
      </c>
      <c r="G13" s="3" t="s">
        <v>227</v>
      </c>
      <c r="I13" s="3">
        <v>937.49999999999989</v>
      </c>
      <c r="J13" s="3">
        <v>1625</v>
      </c>
    </row>
    <row r="14" spans="1:10" x14ac:dyDescent="0.2">
      <c r="B14" s="3" t="s">
        <v>78</v>
      </c>
      <c r="C14" s="3" t="s">
        <v>155</v>
      </c>
      <c r="D14" s="3">
        <v>125</v>
      </c>
      <c r="F14" s="3" t="s">
        <v>227</v>
      </c>
      <c r="G14" s="3" t="s">
        <v>227</v>
      </c>
      <c r="I14" s="3">
        <v>124.99999999997158</v>
      </c>
      <c r="J14" s="3">
        <v>1624.9999999999718</v>
      </c>
    </row>
    <row r="15" spans="1:10" ht="15" thickBot="1" x14ac:dyDescent="0.25">
      <c r="B15" s="4" t="s">
        <v>79</v>
      </c>
      <c r="C15" s="4" t="s">
        <v>156</v>
      </c>
      <c r="D15" s="4">
        <v>562.50000000000011</v>
      </c>
      <c r="F15" s="4" t="s">
        <v>227</v>
      </c>
      <c r="G15" s="4" t="s">
        <v>227</v>
      </c>
      <c r="I15" s="4">
        <v>562.49999999999204</v>
      </c>
      <c r="J15" s="4">
        <v>1624.999999999992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338C3-0BA7-4A37-9F66-EE5FC4DB27CB}">
  <dimension ref="A1:G30"/>
  <sheetViews>
    <sheetView showGridLines="0" workbookViewId="0"/>
  </sheetViews>
  <sheetFormatPr baseColWidth="10" defaultRowHeight="14.25" x14ac:dyDescent="0.2"/>
  <cols>
    <col min="1" max="1" width="2.125" customWidth="1"/>
    <col min="2" max="2" width="6" bestFit="1" customWidth="1"/>
    <col min="3" max="3" width="23.375" bestFit="1" customWidth="1"/>
    <col min="4" max="4" width="15.375" bestFit="1" customWidth="1"/>
    <col min="5" max="5" width="11.75" bestFit="1" customWidth="1"/>
    <col min="6" max="6" width="9.25" bestFit="1" customWidth="1"/>
    <col min="7" max="7" width="7.75" bestFit="1" customWidth="1"/>
  </cols>
  <sheetData>
    <row r="1" spans="1:5" ht="15" x14ac:dyDescent="0.25">
      <c r="A1" s="2" t="s">
        <v>197</v>
      </c>
    </row>
    <row r="2" spans="1:5" ht="15" x14ac:dyDescent="0.25">
      <c r="A2" s="2" t="s">
        <v>263</v>
      </c>
    </row>
    <row r="3" spans="1:5" ht="15" x14ac:dyDescent="0.25">
      <c r="A3" s="2" t="s">
        <v>264</v>
      </c>
    </row>
    <row r="4" spans="1:5" ht="15" x14ac:dyDescent="0.25">
      <c r="A4" s="2" t="s">
        <v>200</v>
      </c>
    </row>
    <row r="5" spans="1:5" ht="15" x14ac:dyDescent="0.25">
      <c r="A5" s="2" t="s">
        <v>201</v>
      </c>
    </row>
    <row r="6" spans="1:5" ht="15" x14ac:dyDescent="0.25">
      <c r="A6" s="2"/>
      <c r="B6" t="s">
        <v>202</v>
      </c>
    </row>
    <row r="7" spans="1:5" ht="15" x14ac:dyDescent="0.25">
      <c r="A7" s="2"/>
      <c r="B7" t="s">
        <v>203</v>
      </c>
    </row>
    <row r="8" spans="1:5" ht="15" x14ac:dyDescent="0.25">
      <c r="A8" s="2"/>
      <c r="B8" t="s">
        <v>231</v>
      </c>
    </row>
    <row r="9" spans="1:5" ht="15" x14ac:dyDescent="0.25">
      <c r="A9" s="2" t="s">
        <v>205</v>
      </c>
    </row>
    <row r="10" spans="1:5" x14ac:dyDescent="0.2">
      <c r="B10" t="s">
        <v>265</v>
      </c>
    </row>
    <row r="11" spans="1:5" x14ac:dyDescent="0.2">
      <c r="B11" t="s">
        <v>266</v>
      </c>
    </row>
    <row r="14" spans="1:5" ht="15" thickBot="1" x14ac:dyDescent="0.25">
      <c r="A14" t="s">
        <v>233</v>
      </c>
    </row>
    <row r="15" spans="1:5" ht="15.75" thickBot="1" x14ac:dyDescent="0.3">
      <c r="B15" s="9" t="s">
        <v>1</v>
      </c>
      <c r="C15" s="9" t="s">
        <v>2</v>
      </c>
      <c r="D15" s="9" t="s">
        <v>209</v>
      </c>
      <c r="E15" s="9" t="s">
        <v>210</v>
      </c>
    </row>
    <row r="16" spans="1:5" ht="15" thickBot="1" x14ac:dyDescent="0.25">
      <c r="B16" s="4" t="s">
        <v>234</v>
      </c>
      <c r="C16" s="4" t="s">
        <v>267</v>
      </c>
      <c r="D16" s="4">
        <v>1625</v>
      </c>
      <c r="E16" s="4">
        <v>1625</v>
      </c>
    </row>
    <row r="19" spans="1:7" ht="15" thickBot="1" x14ac:dyDescent="0.25">
      <c r="A19" t="s">
        <v>9</v>
      </c>
    </row>
    <row r="20" spans="1:7" ht="15.75" thickBot="1" x14ac:dyDescent="0.3">
      <c r="B20" s="9" t="s">
        <v>1</v>
      </c>
      <c r="C20" s="9" t="s">
        <v>2</v>
      </c>
      <c r="D20" s="9" t="s">
        <v>209</v>
      </c>
      <c r="E20" s="9" t="s">
        <v>210</v>
      </c>
      <c r="F20" s="9" t="s">
        <v>211</v>
      </c>
    </row>
    <row r="21" spans="1:7" x14ac:dyDescent="0.2">
      <c r="B21" s="3" t="s">
        <v>76</v>
      </c>
      <c r="C21" s="3" t="s">
        <v>154</v>
      </c>
      <c r="D21" s="3">
        <v>937.5</v>
      </c>
      <c r="E21" s="3">
        <v>937.5</v>
      </c>
      <c r="F21" s="3" t="s">
        <v>217</v>
      </c>
    </row>
    <row r="22" spans="1:7" x14ac:dyDescent="0.2">
      <c r="B22" s="3" t="s">
        <v>78</v>
      </c>
      <c r="C22" s="3" t="s">
        <v>155</v>
      </c>
      <c r="D22" s="3">
        <v>125</v>
      </c>
      <c r="E22" s="3">
        <v>125</v>
      </c>
      <c r="F22" s="3" t="s">
        <v>217</v>
      </c>
    </row>
    <row r="23" spans="1:7" ht="15" thickBot="1" x14ac:dyDescent="0.25">
      <c r="B23" s="4" t="s">
        <v>79</v>
      </c>
      <c r="C23" s="4" t="s">
        <v>156</v>
      </c>
      <c r="D23" s="4">
        <v>562.50000000000011</v>
      </c>
      <c r="E23" s="4">
        <v>562.50000000000011</v>
      </c>
      <c r="F23" s="4" t="s">
        <v>217</v>
      </c>
    </row>
    <row r="26" spans="1:7" ht="15" thickBot="1" x14ac:dyDescent="0.25">
      <c r="A26" t="s">
        <v>10</v>
      </c>
    </row>
    <row r="27" spans="1:7" ht="15.75" thickBot="1" x14ac:dyDescent="0.3">
      <c r="B27" s="9" t="s">
        <v>1</v>
      </c>
      <c r="C27" s="9" t="s">
        <v>2</v>
      </c>
      <c r="D27" s="9" t="s">
        <v>212</v>
      </c>
      <c r="E27" s="9" t="s">
        <v>213</v>
      </c>
      <c r="F27" s="9" t="s">
        <v>214</v>
      </c>
      <c r="G27" s="9" t="s">
        <v>215</v>
      </c>
    </row>
    <row r="28" spans="1:7" x14ac:dyDescent="0.2">
      <c r="B28" s="3" t="s">
        <v>157</v>
      </c>
      <c r="C28" s="3" t="s">
        <v>118</v>
      </c>
      <c r="D28" s="3">
        <v>200</v>
      </c>
      <c r="E28" s="3" t="s">
        <v>268</v>
      </c>
      <c r="F28" s="3" t="s">
        <v>219</v>
      </c>
      <c r="G28" s="3">
        <v>0</v>
      </c>
    </row>
    <row r="29" spans="1:7" x14ac:dyDescent="0.2">
      <c r="B29" s="3" t="s">
        <v>158</v>
      </c>
      <c r="C29" s="3" t="s">
        <v>119</v>
      </c>
      <c r="D29" s="3">
        <v>800</v>
      </c>
      <c r="E29" s="3" t="s">
        <v>269</v>
      </c>
      <c r="F29" s="3" t="s">
        <v>219</v>
      </c>
      <c r="G29" s="3">
        <v>0</v>
      </c>
    </row>
    <row r="30" spans="1:7" ht="15" thickBot="1" x14ac:dyDescent="0.25">
      <c r="B30" s="4" t="s">
        <v>100</v>
      </c>
      <c r="C30" s="4" t="s">
        <v>120</v>
      </c>
      <c r="D30" s="4">
        <v>150.00000000000003</v>
      </c>
      <c r="E30" s="4" t="s">
        <v>270</v>
      </c>
      <c r="F30" s="4" t="s">
        <v>219</v>
      </c>
      <c r="G30" s="4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1F8FA-CAD3-46DF-9B3B-1A1985108376}">
  <dimension ref="A1:H18"/>
  <sheetViews>
    <sheetView showGridLines="0" workbookViewId="0">
      <selection activeCell="I22" sqref="I22"/>
    </sheetView>
  </sheetViews>
  <sheetFormatPr baseColWidth="10" defaultRowHeight="14.25" x14ac:dyDescent="0.2"/>
  <cols>
    <col min="1" max="1" width="2.25" customWidth="1"/>
    <col min="2" max="2" width="5.875" bestFit="1" customWidth="1"/>
    <col min="3" max="3" width="23.25" bestFit="1" customWidth="1"/>
    <col min="4" max="4" width="5.875" bestFit="1" customWidth="1"/>
    <col min="5" max="5" width="11.875" bestFit="1" customWidth="1"/>
    <col min="6" max="6" width="12.875" bestFit="1" customWidth="1"/>
    <col min="7" max="8" width="11.875" bestFit="1" customWidth="1"/>
  </cols>
  <sheetData>
    <row r="1" spans="1:8" ht="15" x14ac:dyDescent="0.25">
      <c r="A1" s="2" t="s">
        <v>149</v>
      </c>
    </row>
    <row r="2" spans="1:8" ht="15" x14ac:dyDescent="0.25">
      <c r="A2" s="2" t="s">
        <v>152</v>
      </c>
    </row>
    <row r="3" spans="1:8" ht="15" x14ac:dyDescent="0.25">
      <c r="A3" s="2" t="s">
        <v>153</v>
      </c>
    </row>
    <row r="6" spans="1:8" ht="15" thickBot="1" x14ac:dyDescent="0.25">
      <c r="A6" t="s">
        <v>9</v>
      </c>
    </row>
    <row r="7" spans="1:8" ht="15" x14ac:dyDescent="0.25">
      <c r="B7" s="5"/>
      <c r="C7" s="5"/>
      <c r="D7" s="5" t="s">
        <v>13</v>
      </c>
      <c r="E7" s="5" t="s">
        <v>14</v>
      </c>
      <c r="F7" s="5" t="s">
        <v>0</v>
      </c>
      <c r="G7" s="5" t="s">
        <v>15</v>
      </c>
      <c r="H7" s="5" t="s">
        <v>15</v>
      </c>
    </row>
    <row r="8" spans="1:8" ht="15.75" thickBot="1" x14ac:dyDescent="0.3">
      <c r="B8" s="6" t="s">
        <v>1</v>
      </c>
      <c r="C8" s="6" t="s">
        <v>2</v>
      </c>
      <c r="D8" s="6" t="s">
        <v>3</v>
      </c>
      <c r="E8" s="6" t="s">
        <v>16</v>
      </c>
      <c r="F8" s="6" t="s">
        <v>17</v>
      </c>
      <c r="G8" s="6" t="s">
        <v>150</v>
      </c>
      <c r="H8" s="6" t="s">
        <v>151</v>
      </c>
    </row>
    <row r="9" spans="1:8" x14ac:dyDescent="0.2">
      <c r="B9" s="3" t="s">
        <v>76</v>
      </c>
      <c r="C9" s="3" t="s">
        <v>154</v>
      </c>
      <c r="D9" s="3">
        <v>937.5</v>
      </c>
      <c r="E9" s="3">
        <v>0</v>
      </c>
      <c r="F9" s="3">
        <v>1</v>
      </c>
      <c r="G9" s="3">
        <v>0.39999999999999969</v>
      </c>
      <c r="H9" s="3">
        <v>0.28571428571428503</v>
      </c>
    </row>
    <row r="10" spans="1:8" x14ac:dyDescent="0.2">
      <c r="B10" s="3" t="s">
        <v>78</v>
      </c>
      <c r="C10" s="3" t="s">
        <v>155</v>
      </c>
      <c r="D10" s="3">
        <v>125</v>
      </c>
      <c r="E10" s="3">
        <v>0</v>
      </c>
      <c r="F10" s="3">
        <v>1</v>
      </c>
      <c r="G10" s="3">
        <v>1.0000000000000009</v>
      </c>
      <c r="H10" s="3">
        <v>0.19999999999999957</v>
      </c>
    </row>
    <row r="11" spans="1:8" ht="15" thickBot="1" x14ac:dyDescent="0.25">
      <c r="B11" s="4" t="s">
        <v>79</v>
      </c>
      <c r="C11" s="4" t="s">
        <v>156</v>
      </c>
      <c r="D11" s="4">
        <v>562.50000000000011</v>
      </c>
      <c r="E11" s="4">
        <v>0</v>
      </c>
      <c r="F11" s="4">
        <v>1</v>
      </c>
      <c r="G11" s="4">
        <v>0.133333333333333</v>
      </c>
      <c r="H11" s="4">
        <v>0.66666666666666696</v>
      </c>
    </row>
    <row r="13" spans="1:8" ht="15" thickBot="1" x14ac:dyDescent="0.25">
      <c r="A13" t="s">
        <v>10</v>
      </c>
    </row>
    <row r="14" spans="1:8" ht="15" x14ac:dyDescent="0.25">
      <c r="B14" s="5"/>
      <c r="C14" s="5"/>
      <c r="D14" s="5" t="s">
        <v>13</v>
      </c>
      <c r="E14" s="5" t="s">
        <v>18</v>
      </c>
      <c r="F14" s="5" t="s">
        <v>19</v>
      </c>
      <c r="G14" s="5" t="s">
        <v>15</v>
      </c>
      <c r="H14" s="5" t="s">
        <v>15</v>
      </c>
    </row>
    <row r="15" spans="1:8" ht="15.75" thickBot="1" x14ac:dyDescent="0.3">
      <c r="B15" s="6" t="s">
        <v>1</v>
      </c>
      <c r="C15" s="6" t="s">
        <v>2</v>
      </c>
      <c r="D15" s="6" t="s">
        <v>3</v>
      </c>
      <c r="E15" s="6" t="s">
        <v>20</v>
      </c>
      <c r="F15" s="6" t="s">
        <v>21</v>
      </c>
      <c r="G15" s="6" t="s">
        <v>150</v>
      </c>
      <c r="H15" s="6" t="s">
        <v>151</v>
      </c>
    </row>
    <row r="16" spans="1:8" x14ac:dyDescent="0.2">
      <c r="B16" s="3" t="s">
        <v>157</v>
      </c>
      <c r="C16" s="3" t="s">
        <v>118</v>
      </c>
      <c r="D16" s="3">
        <v>200</v>
      </c>
      <c r="E16" s="3">
        <v>0.83333333333333126</v>
      </c>
      <c r="F16" s="3">
        <v>200</v>
      </c>
      <c r="G16" s="3">
        <v>1E+30</v>
      </c>
      <c r="H16" s="3">
        <v>1E+30</v>
      </c>
    </row>
    <row r="17" spans="2:8" x14ac:dyDescent="0.2">
      <c r="B17" s="3" t="s">
        <v>158</v>
      </c>
      <c r="C17" s="3" t="s">
        <v>119</v>
      </c>
      <c r="D17" s="3">
        <v>800</v>
      </c>
      <c r="E17" s="3">
        <v>1.6666666666666674</v>
      </c>
      <c r="F17" s="3">
        <v>800</v>
      </c>
      <c r="G17" s="3">
        <v>1E+30</v>
      </c>
      <c r="H17" s="3">
        <v>1E+30</v>
      </c>
    </row>
    <row r="18" spans="2:8" ht="15" thickBot="1" x14ac:dyDescent="0.25">
      <c r="B18" s="4" t="s">
        <v>100</v>
      </c>
      <c r="C18" s="4" t="s">
        <v>120</v>
      </c>
      <c r="D18" s="4">
        <v>150.00000000000003</v>
      </c>
      <c r="E18" s="4">
        <v>0.8333333333333327</v>
      </c>
      <c r="F18" s="4">
        <v>150</v>
      </c>
      <c r="G18" s="4">
        <v>1E+30</v>
      </c>
      <c r="H18" s="4">
        <v>1E+30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1F353-E20E-49CA-9A49-7EBEBCA0364A}">
  <dimension ref="A1:I18"/>
  <sheetViews>
    <sheetView workbookViewId="0">
      <selection sqref="A1:I18"/>
    </sheetView>
  </sheetViews>
  <sheetFormatPr baseColWidth="10" defaultColWidth="10.5" defaultRowHeight="14.25" x14ac:dyDescent="0.2"/>
  <cols>
    <col min="1" max="1" width="19.625" bestFit="1" customWidth="1"/>
    <col min="2" max="2" width="8.75" bestFit="1" customWidth="1"/>
    <col min="3" max="3" width="5.25" bestFit="1" customWidth="1"/>
    <col min="4" max="4" width="4.375" bestFit="1" customWidth="1"/>
    <col min="5" max="5" width="10.5" bestFit="1" customWidth="1"/>
    <col min="6" max="6" width="6.125" bestFit="1" customWidth="1"/>
    <col min="7" max="7" width="2.625" bestFit="1" customWidth="1"/>
    <col min="8" max="8" width="10.5" bestFit="1" customWidth="1"/>
  </cols>
  <sheetData>
    <row r="1" spans="1:9" ht="15" x14ac:dyDescent="0.25">
      <c r="A1" s="7" t="s">
        <v>121</v>
      </c>
      <c r="B1" s="7">
        <f>SUMPRODUCT(B4:E4,B5:E5)</f>
        <v>125000000</v>
      </c>
      <c r="C1" s="7"/>
      <c r="D1" s="7"/>
      <c r="E1" s="7"/>
      <c r="F1" s="7"/>
      <c r="G1" s="7"/>
      <c r="H1" s="7"/>
      <c r="I1" s="7"/>
    </row>
    <row r="2" spans="1:9" ht="15" x14ac:dyDescent="0.25">
      <c r="A2" s="7"/>
      <c r="B2" s="7"/>
      <c r="C2" s="7"/>
      <c r="D2" s="7"/>
      <c r="E2" s="7"/>
      <c r="F2" s="7"/>
      <c r="G2" s="7"/>
      <c r="H2" s="7"/>
      <c r="I2" s="7"/>
    </row>
    <row r="3" spans="1:9" ht="15" x14ac:dyDescent="0.25">
      <c r="A3" s="7" t="s">
        <v>122</v>
      </c>
      <c r="B3" s="7" t="s">
        <v>23</v>
      </c>
      <c r="C3" s="7" t="s">
        <v>24</v>
      </c>
      <c r="D3" s="7" t="s">
        <v>123</v>
      </c>
      <c r="E3" s="7" t="s">
        <v>124</v>
      </c>
      <c r="F3" s="7"/>
      <c r="G3" s="7"/>
      <c r="H3" s="7"/>
      <c r="I3" s="7"/>
    </row>
    <row r="4" spans="1:9" ht="15" x14ac:dyDescent="0.25">
      <c r="A4" s="7" t="s">
        <v>125</v>
      </c>
      <c r="B4" s="7">
        <v>36000</v>
      </c>
      <c r="C4" s="7">
        <v>14000</v>
      </c>
      <c r="D4" s="7">
        <v>4000</v>
      </c>
      <c r="E4" s="7">
        <v>1000</v>
      </c>
      <c r="F4" s="7"/>
      <c r="G4" s="7"/>
      <c r="H4" s="7"/>
      <c r="I4" s="7"/>
    </row>
    <row r="5" spans="1:9" ht="15" x14ac:dyDescent="0.25">
      <c r="A5" s="7" t="s">
        <v>126</v>
      </c>
      <c r="B5" s="7">
        <v>4000</v>
      </c>
      <c r="C5" s="7">
        <v>-3000</v>
      </c>
      <c r="D5" s="7">
        <v>6000</v>
      </c>
      <c r="E5" s="7">
        <v>-1000</v>
      </c>
      <c r="F5" s="7"/>
      <c r="G5" s="7"/>
      <c r="H5" s="7"/>
      <c r="I5" s="7"/>
    </row>
    <row r="6" spans="1:9" ht="15" x14ac:dyDescent="0.25">
      <c r="A6" s="7"/>
      <c r="B6" s="7"/>
      <c r="C6" s="7"/>
      <c r="D6" s="7"/>
      <c r="E6" s="7"/>
      <c r="F6" s="7"/>
      <c r="G6" s="7"/>
      <c r="H6" s="7"/>
      <c r="I6" s="7"/>
    </row>
    <row r="7" spans="1:9" ht="15" x14ac:dyDescent="0.25">
      <c r="A7" s="7"/>
      <c r="B7" s="7"/>
      <c r="C7" s="7"/>
      <c r="D7" s="7"/>
      <c r="E7" s="7"/>
      <c r="F7" s="7"/>
      <c r="G7" s="7"/>
      <c r="H7" s="7"/>
      <c r="I7" s="7"/>
    </row>
    <row r="8" spans="1:9" ht="15" x14ac:dyDescent="0.25">
      <c r="A8" s="7" t="s">
        <v>27</v>
      </c>
      <c r="B8" s="7"/>
      <c r="C8" s="7"/>
      <c r="D8" s="7"/>
      <c r="E8" s="7"/>
      <c r="F8" s="7"/>
      <c r="G8" s="7"/>
      <c r="H8" s="7"/>
      <c r="I8" s="7"/>
    </row>
    <row r="9" spans="1:9" ht="15" x14ac:dyDescent="0.25">
      <c r="A9" s="7" t="s">
        <v>127</v>
      </c>
      <c r="B9" s="7">
        <v>1</v>
      </c>
      <c r="C9" s="7">
        <v>1</v>
      </c>
      <c r="D9" s="7">
        <v>0</v>
      </c>
      <c r="E9" s="7">
        <v>0</v>
      </c>
      <c r="F9" s="7">
        <f>SUMPRODUCT(B4:E4,B9:E9)</f>
        <v>50000</v>
      </c>
      <c r="G9" s="7" t="s">
        <v>30</v>
      </c>
      <c r="H9" s="7">
        <v>100000</v>
      </c>
      <c r="I9" s="7"/>
    </row>
    <row r="10" spans="1:9" ht="15" x14ac:dyDescent="0.25">
      <c r="A10" s="7" t="s">
        <v>128</v>
      </c>
      <c r="B10" s="7">
        <v>0</v>
      </c>
      <c r="C10" s="7">
        <v>0</v>
      </c>
      <c r="D10" s="7">
        <v>1</v>
      </c>
      <c r="E10" s="7">
        <v>1</v>
      </c>
      <c r="F10" s="7">
        <f>SUMPRODUCT(B4:E4,B10:E10)</f>
        <v>5000</v>
      </c>
      <c r="G10" s="7" t="s">
        <v>30</v>
      </c>
      <c r="H10" s="7">
        <v>20000</v>
      </c>
      <c r="I10" s="7"/>
    </row>
    <row r="11" spans="1:9" ht="15" x14ac:dyDescent="0.25">
      <c r="A11" s="7" t="s">
        <v>129</v>
      </c>
      <c r="B11" s="7">
        <v>1</v>
      </c>
      <c r="C11" s="7">
        <v>0</v>
      </c>
      <c r="D11" s="7">
        <v>1</v>
      </c>
      <c r="E11" s="7">
        <v>0</v>
      </c>
      <c r="F11" s="7">
        <f>SUMPRODUCT(B4:E4,B11:E11)</f>
        <v>40000</v>
      </c>
      <c r="G11" s="7" t="s">
        <v>30</v>
      </c>
      <c r="H11" s="7">
        <v>40000</v>
      </c>
      <c r="I11" s="7"/>
    </row>
    <row r="12" spans="1:9" ht="15" x14ac:dyDescent="0.25">
      <c r="A12" s="7" t="s">
        <v>130</v>
      </c>
      <c r="B12" s="7">
        <v>0</v>
      </c>
      <c r="C12" s="7">
        <v>1</v>
      </c>
      <c r="D12" s="7">
        <v>0</v>
      </c>
      <c r="E12" s="7">
        <v>1</v>
      </c>
      <c r="F12" s="7">
        <f>SUMPRODUCT(B4:E4,B12:E12)</f>
        <v>15000</v>
      </c>
      <c r="G12" s="7" t="s">
        <v>30</v>
      </c>
      <c r="H12" s="7">
        <v>60000</v>
      </c>
      <c r="I12" s="7"/>
    </row>
    <row r="13" spans="1:9" ht="15" x14ac:dyDescent="0.25">
      <c r="A13" s="7" t="s">
        <v>131</v>
      </c>
      <c r="B13" s="7">
        <v>1</v>
      </c>
      <c r="C13" s="7">
        <v>1</v>
      </c>
      <c r="D13" s="7">
        <v>0</v>
      </c>
      <c r="E13" s="7">
        <v>0</v>
      </c>
      <c r="F13" s="7">
        <f>SUMPRODUCT(B4:E4,B13:E13)</f>
        <v>50000</v>
      </c>
      <c r="G13" s="7" t="s">
        <v>73</v>
      </c>
      <c r="H13" s="7">
        <v>50000</v>
      </c>
      <c r="I13" s="7"/>
    </row>
    <row r="14" spans="1:9" ht="15" x14ac:dyDescent="0.25">
      <c r="A14" s="7" t="s">
        <v>132</v>
      </c>
      <c r="B14" s="7">
        <v>0</v>
      </c>
      <c r="C14" s="7">
        <v>0</v>
      </c>
      <c r="D14" s="7">
        <v>1</v>
      </c>
      <c r="E14" s="7">
        <v>1</v>
      </c>
      <c r="F14" s="7">
        <f>SUMPRODUCT(B4:E4,B14:E14)</f>
        <v>5000</v>
      </c>
      <c r="G14" s="7" t="s">
        <v>73</v>
      </c>
      <c r="H14" s="7">
        <v>5000</v>
      </c>
      <c r="I14" s="7"/>
    </row>
    <row r="15" spans="1:9" ht="15" x14ac:dyDescent="0.25">
      <c r="A15" s="7" t="s">
        <v>133</v>
      </c>
      <c r="B15" s="7">
        <v>2</v>
      </c>
      <c r="C15" s="7">
        <v>-8</v>
      </c>
      <c r="D15" s="7">
        <v>0</v>
      </c>
      <c r="E15" s="7">
        <v>0</v>
      </c>
      <c r="F15" s="7">
        <f>SUMPRODUCT(B4:E4,B15:E15)</f>
        <v>-40000</v>
      </c>
      <c r="G15" s="7" t="s">
        <v>30</v>
      </c>
      <c r="H15" s="7">
        <v>0</v>
      </c>
      <c r="I15" s="7"/>
    </row>
    <row r="16" spans="1:9" ht="15" x14ac:dyDescent="0.25">
      <c r="A16" s="7" t="s">
        <v>134</v>
      </c>
      <c r="B16" s="7">
        <v>0</v>
      </c>
      <c r="C16" s="7">
        <v>0</v>
      </c>
      <c r="D16" s="7">
        <v>2</v>
      </c>
      <c r="E16" s="7">
        <v>-8</v>
      </c>
      <c r="F16" s="7">
        <f>SUMPRODUCT(B4:E4,B16:E16)</f>
        <v>0</v>
      </c>
      <c r="G16" s="7" t="s">
        <v>30</v>
      </c>
      <c r="H16" s="7">
        <v>0</v>
      </c>
      <c r="I16" s="7"/>
    </row>
    <row r="17" spans="1:9" ht="15" x14ac:dyDescent="0.25">
      <c r="A17" s="7" t="s">
        <v>135</v>
      </c>
      <c r="B17" s="7">
        <v>-1</v>
      </c>
      <c r="C17" s="7">
        <v>10</v>
      </c>
      <c r="D17" s="7">
        <v>0</v>
      </c>
      <c r="E17" s="7">
        <v>0</v>
      </c>
      <c r="F17" s="7">
        <f>SUMPRODUCT(B4:E4,B17:E17)</f>
        <v>104000</v>
      </c>
      <c r="G17" s="7" t="s">
        <v>73</v>
      </c>
      <c r="H17" s="7">
        <v>0</v>
      </c>
      <c r="I17" s="7"/>
    </row>
    <row r="18" spans="1:9" ht="15" x14ac:dyDescent="0.25">
      <c r="A18" s="7" t="s">
        <v>136</v>
      </c>
      <c r="B18" s="7">
        <v>0</v>
      </c>
      <c r="C18" s="7">
        <v>0</v>
      </c>
      <c r="D18" s="7">
        <v>6</v>
      </c>
      <c r="E18" s="7">
        <v>5</v>
      </c>
      <c r="F18" s="7">
        <f>SUMPRODUCT(B4:E4,B18:E18)</f>
        <v>29000</v>
      </c>
      <c r="G18" s="7" t="s">
        <v>73</v>
      </c>
      <c r="H18" s="7">
        <v>0</v>
      </c>
      <c r="I18" s="7"/>
    </row>
  </sheetData>
  <sheetProtection selectLockedCells="1" selectUnlockedCells="1"/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 scaleWithDoc="0" alignWithMargins="0">
    <oddHeader>&amp;C&amp;"arial,Regular"&amp;10&amp;A</oddHeader>
    <oddFooter>&amp;C&amp;"arial,Regular"&amp;10Página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8836A-19E6-48F7-BCA2-88B739225975}">
  <dimension ref="A1:J16"/>
  <sheetViews>
    <sheetView showGridLines="0" workbookViewId="0">
      <selection sqref="A1:A3"/>
    </sheetView>
  </sheetViews>
  <sheetFormatPr baseColWidth="10" defaultRowHeight="14.25" x14ac:dyDescent="0.2"/>
  <cols>
    <col min="1" max="1" width="2.125" customWidth="1"/>
    <col min="2" max="2" width="6" bestFit="1" customWidth="1"/>
    <col min="3" max="3" width="8" bestFit="1" customWidth="1"/>
    <col min="4" max="4" width="9.875" bestFit="1" customWidth="1"/>
    <col min="5" max="5" width="2.125" customWidth="1"/>
    <col min="6" max="6" width="7.375" bestFit="1" customWidth="1"/>
    <col min="7" max="7" width="9.875" bestFit="1" customWidth="1"/>
    <col min="8" max="8" width="2.125" customWidth="1"/>
    <col min="9" max="9" width="8.625" bestFit="1" customWidth="1"/>
    <col min="10" max="10" width="9.875" bestFit="1" customWidth="1"/>
  </cols>
  <sheetData>
    <row r="1" spans="1:10" ht="15" x14ac:dyDescent="0.25">
      <c r="A1" s="2" t="s">
        <v>221</v>
      </c>
    </row>
    <row r="2" spans="1:10" ht="15" x14ac:dyDescent="0.25">
      <c r="A2" s="2" t="s">
        <v>271</v>
      </c>
    </row>
    <row r="3" spans="1:10" ht="15" x14ac:dyDescent="0.25">
      <c r="A3" s="2" t="s">
        <v>272</v>
      </c>
    </row>
    <row r="5" spans="1:10" ht="15" thickBot="1" x14ac:dyDescent="0.25"/>
    <row r="6" spans="1:10" ht="15" x14ac:dyDescent="0.25">
      <c r="B6" s="5"/>
      <c r="C6" s="5" t="s">
        <v>0</v>
      </c>
      <c r="D6" s="5"/>
    </row>
    <row r="7" spans="1:10" ht="15.75" thickBot="1" x14ac:dyDescent="0.3">
      <c r="B7" s="6" t="s">
        <v>1</v>
      </c>
      <c r="C7" s="6" t="s">
        <v>2</v>
      </c>
      <c r="D7" s="6" t="s">
        <v>3</v>
      </c>
    </row>
    <row r="8" spans="1:10" ht="15" thickBot="1" x14ac:dyDescent="0.25">
      <c r="B8" s="4" t="s">
        <v>234</v>
      </c>
      <c r="C8" s="4" t="s">
        <v>121</v>
      </c>
      <c r="D8" s="4">
        <v>125000000</v>
      </c>
    </row>
    <row r="10" spans="1:10" ht="15" thickBot="1" x14ac:dyDescent="0.25"/>
    <row r="11" spans="1:10" ht="15" x14ac:dyDescent="0.25">
      <c r="B11" s="5"/>
      <c r="C11" s="5" t="s">
        <v>222</v>
      </c>
      <c r="D11" s="5"/>
      <c r="F11" s="5" t="s">
        <v>223</v>
      </c>
      <c r="G11" s="5" t="s">
        <v>0</v>
      </c>
      <c r="I11" s="5" t="s">
        <v>226</v>
      </c>
      <c r="J11" s="5" t="s">
        <v>0</v>
      </c>
    </row>
    <row r="12" spans="1:10" ht="15.75" thickBot="1" x14ac:dyDescent="0.3">
      <c r="B12" s="6" t="s">
        <v>1</v>
      </c>
      <c r="C12" s="6" t="s">
        <v>2</v>
      </c>
      <c r="D12" s="6" t="s">
        <v>3</v>
      </c>
      <c r="F12" s="6" t="s">
        <v>224</v>
      </c>
      <c r="G12" s="6" t="s">
        <v>225</v>
      </c>
      <c r="I12" s="6" t="s">
        <v>224</v>
      </c>
      <c r="J12" s="6" t="s">
        <v>225</v>
      </c>
    </row>
    <row r="13" spans="1:10" x14ac:dyDescent="0.2">
      <c r="B13" s="3" t="s">
        <v>76</v>
      </c>
      <c r="C13" s="3" t="s">
        <v>161</v>
      </c>
      <c r="D13" s="3">
        <v>36000</v>
      </c>
      <c r="F13" s="3">
        <v>36000</v>
      </c>
      <c r="G13" s="3">
        <v>125000000</v>
      </c>
      <c r="I13" s="3">
        <v>36000</v>
      </c>
      <c r="J13" s="3">
        <v>125000000</v>
      </c>
    </row>
    <row r="14" spans="1:10" x14ac:dyDescent="0.2">
      <c r="B14" s="3" t="s">
        <v>78</v>
      </c>
      <c r="C14" s="3" t="s">
        <v>162</v>
      </c>
      <c r="D14" s="3">
        <v>14000</v>
      </c>
      <c r="F14" s="3">
        <v>14000</v>
      </c>
      <c r="G14" s="3">
        <v>125000000</v>
      </c>
      <c r="I14" s="3">
        <v>59000</v>
      </c>
      <c r="J14" s="3">
        <v>-10000000</v>
      </c>
    </row>
    <row r="15" spans="1:10" x14ac:dyDescent="0.2">
      <c r="B15" s="3" t="s">
        <v>79</v>
      </c>
      <c r="C15" s="3" t="s">
        <v>163</v>
      </c>
      <c r="D15" s="3">
        <v>4000</v>
      </c>
      <c r="F15" s="3">
        <v>4000</v>
      </c>
      <c r="G15" s="3">
        <v>125000000</v>
      </c>
      <c r="I15" s="3">
        <v>4000</v>
      </c>
      <c r="J15" s="3">
        <v>125000000</v>
      </c>
    </row>
    <row r="16" spans="1:10" ht="15" thickBot="1" x14ac:dyDescent="0.25">
      <c r="B16" s="4" t="s">
        <v>80</v>
      </c>
      <c r="C16" s="4" t="s">
        <v>164</v>
      </c>
      <c r="D16" s="4">
        <v>1000</v>
      </c>
      <c r="F16" s="4">
        <v>1000</v>
      </c>
      <c r="G16" s="4">
        <v>125000000</v>
      </c>
      <c r="I16" s="4">
        <v>16000</v>
      </c>
      <c r="J16" s="4">
        <v>110000000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E3FB3-E237-45AC-8A0B-4E2EBA78B212}">
  <dimension ref="A1:G38"/>
  <sheetViews>
    <sheetView showGridLines="0" topLeftCell="A6" workbookViewId="0"/>
  </sheetViews>
  <sheetFormatPr baseColWidth="10" defaultRowHeight="14.25" x14ac:dyDescent="0.2"/>
  <cols>
    <col min="1" max="1" width="2.125" customWidth="1"/>
    <col min="2" max="2" width="6" bestFit="1" customWidth="1"/>
    <col min="3" max="3" width="15.75" bestFit="1" customWidth="1"/>
    <col min="4" max="4" width="15.375" bestFit="1" customWidth="1"/>
    <col min="5" max="5" width="13.5" bestFit="1" customWidth="1"/>
    <col min="6" max="6" width="11.75" bestFit="1" customWidth="1"/>
    <col min="7" max="7" width="7.75" bestFit="1" customWidth="1"/>
  </cols>
  <sheetData>
    <row r="1" spans="1:5" ht="15" x14ac:dyDescent="0.25">
      <c r="A1" s="2" t="s">
        <v>197</v>
      </c>
    </row>
    <row r="2" spans="1:5" ht="15" x14ac:dyDescent="0.25">
      <c r="A2" s="2" t="s">
        <v>271</v>
      </c>
    </row>
    <row r="3" spans="1:5" ht="15" x14ac:dyDescent="0.25">
      <c r="A3" s="2" t="s">
        <v>272</v>
      </c>
    </row>
    <row r="4" spans="1:5" ht="15" x14ac:dyDescent="0.25">
      <c r="A4" s="2" t="s">
        <v>200</v>
      </c>
    </row>
    <row r="5" spans="1:5" ht="15" x14ac:dyDescent="0.25">
      <c r="A5" s="2" t="s">
        <v>201</v>
      </c>
    </row>
    <row r="6" spans="1:5" ht="15" x14ac:dyDescent="0.25">
      <c r="A6" s="2"/>
      <c r="B6" t="s">
        <v>202</v>
      </c>
    </row>
    <row r="7" spans="1:5" ht="15" x14ac:dyDescent="0.25">
      <c r="A7" s="2"/>
      <c r="B7" t="s">
        <v>203</v>
      </c>
    </row>
    <row r="8" spans="1:5" ht="15" x14ac:dyDescent="0.25">
      <c r="A8" s="2"/>
      <c r="B8" t="s">
        <v>273</v>
      </c>
    </row>
    <row r="9" spans="1:5" ht="15" x14ac:dyDescent="0.25">
      <c r="A9" s="2" t="s">
        <v>205</v>
      </c>
    </row>
    <row r="10" spans="1:5" x14ac:dyDescent="0.2">
      <c r="B10" t="s">
        <v>232</v>
      </c>
    </row>
    <row r="11" spans="1:5" x14ac:dyDescent="0.2">
      <c r="B11" t="s">
        <v>207</v>
      </c>
    </row>
    <row r="14" spans="1:5" ht="15" thickBot="1" x14ac:dyDescent="0.25">
      <c r="A14" t="s">
        <v>233</v>
      </c>
    </row>
    <row r="15" spans="1:5" ht="15.75" thickBot="1" x14ac:dyDescent="0.3">
      <c r="B15" s="9" t="s">
        <v>1</v>
      </c>
      <c r="C15" s="9" t="s">
        <v>2</v>
      </c>
      <c r="D15" s="9" t="s">
        <v>209</v>
      </c>
      <c r="E15" s="9" t="s">
        <v>210</v>
      </c>
    </row>
    <row r="16" spans="1:5" ht="15" thickBot="1" x14ac:dyDescent="0.25">
      <c r="B16" s="4" t="s">
        <v>234</v>
      </c>
      <c r="C16" s="4" t="s">
        <v>121</v>
      </c>
      <c r="D16" s="4">
        <v>125000000</v>
      </c>
      <c r="E16" s="4">
        <v>125000000</v>
      </c>
    </row>
    <row r="19" spans="1:7" ht="15" thickBot="1" x14ac:dyDescent="0.25">
      <c r="A19" t="s">
        <v>9</v>
      </c>
    </row>
    <row r="20" spans="1:7" ht="15.75" thickBot="1" x14ac:dyDescent="0.3">
      <c r="B20" s="9" t="s">
        <v>1</v>
      </c>
      <c r="C20" s="9" t="s">
        <v>2</v>
      </c>
      <c r="D20" s="9" t="s">
        <v>209</v>
      </c>
      <c r="E20" s="9" t="s">
        <v>210</v>
      </c>
      <c r="F20" s="9" t="s">
        <v>211</v>
      </c>
    </row>
    <row r="21" spans="1:7" x14ac:dyDescent="0.2">
      <c r="B21" s="3" t="s">
        <v>76</v>
      </c>
      <c r="C21" s="3" t="s">
        <v>161</v>
      </c>
      <c r="D21" s="3">
        <v>36000</v>
      </c>
      <c r="E21" s="3">
        <v>36000</v>
      </c>
      <c r="F21" s="3" t="s">
        <v>217</v>
      </c>
    </row>
    <row r="22" spans="1:7" x14ac:dyDescent="0.2">
      <c r="B22" s="3" t="s">
        <v>78</v>
      </c>
      <c r="C22" s="3" t="s">
        <v>162</v>
      </c>
      <c r="D22" s="3">
        <v>14000</v>
      </c>
      <c r="E22" s="3">
        <v>14000</v>
      </c>
      <c r="F22" s="3" t="s">
        <v>217</v>
      </c>
    </row>
    <row r="23" spans="1:7" x14ac:dyDescent="0.2">
      <c r="B23" s="3" t="s">
        <v>79</v>
      </c>
      <c r="C23" s="3" t="s">
        <v>163</v>
      </c>
      <c r="D23" s="3">
        <v>4000</v>
      </c>
      <c r="E23" s="3">
        <v>4000</v>
      </c>
      <c r="F23" s="3" t="s">
        <v>217</v>
      </c>
    </row>
    <row r="24" spans="1:7" ht="15" thickBot="1" x14ac:dyDescent="0.25">
      <c r="B24" s="4" t="s">
        <v>80</v>
      </c>
      <c r="C24" s="4" t="s">
        <v>164</v>
      </c>
      <c r="D24" s="4">
        <v>1000</v>
      </c>
      <c r="E24" s="4">
        <v>1000</v>
      </c>
      <c r="F24" s="4" t="s">
        <v>217</v>
      </c>
    </row>
    <row r="27" spans="1:7" ht="15" thickBot="1" x14ac:dyDescent="0.25">
      <c r="A27" t="s">
        <v>10</v>
      </c>
    </row>
    <row r="28" spans="1:7" ht="15.75" thickBot="1" x14ac:dyDescent="0.3">
      <c r="B28" s="9" t="s">
        <v>1</v>
      </c>
      <c r="C28" s="9" t="s">
        <v>2</v>
      </c>
      <c r="D28" s="9" t="s">
        <v>212</v>
      </c>
      <c r="E28" s="9" t="s">
        <v>213</v>
      </c>
      <c r="F28" s="9" t="s">
        <v>214</v>
      </c>
      <c r="G28" s="9" t="s">
        <v>215</v>
      </c>
    </row>
    <row r="29" spans="1:7" x14ac:dyDescent="0.2">
      <c r="B29" s="3" t="s">
        <v>85</v>
      </c>
      <c r="C29" s="3" t="s">
        <v>128</v>
      </c>
      <c r="D29" s="3">
        <v>5000</v>
      </c>
      <c r="E29" s="3" t="s">
        <v>255</v>
      </c>
      <c r="F29" s="3" t="s">
        <v>236</v>
      </c>
      <c r="G29" s="3">
        <v>15000</v>
      </c>
    </row>
    <row r="30" spans="1:7" x14ac:dyDescent="0.2">
      <c r="B30" s="3" t="s">
        <v>87</v>
      </c>
      <c r="C30" s="3" t="s">
        <v>129</v>
      </c>
      <c r="D30" s="3">
        <v>40000</v>
      </c>
      <c r="E30" s="3" t="s">
        <v>253</v>
      </c>
      <c r="F30" s="3" t="s">
        <v>219</v>
      </c>
      <c r="G30" s="3">
        <v>0</v>
      </c>
    </row>
    <row r="31" spans="1:7" x14ac:dyDescent="0.2">
      <c r="B31" s="3" t="s">
        <v>89</v>
      </c>
      <c r="C31" s="3" t="s">
        <v>130</v>
      </c>
      <c r="D31" s="3">
        <v>15000</v>
      </c>
      <c r="E31" s="3" t="s">
        <v>274</v>
      </c>
      <c r="F31" s="3" t="s">
        <v>236</v>
      </c>
      <c r="G31" s="3">
        <v>45000</v>
      </c>
    </row>
    <row r="32" spans="1:7" x14ac:dyDescent="0.2">
      <c r="B32" s="3" t="s">
        <v>91</v>
      </c>
      <c r="C32" s="3" t="s">
        <v>131</v>
      </c>
      <c r="D32" s="3">
        <v>50000</v>
      </c>
      <c r="E32" s="3" t="s">
        <v>252</v>
      </c>
      <c r="F32" s="3" t="s">
        <v>219</v>
      </c>
      <c r="G32" s="3">
        <v>0</v>
      </c>
    </row>
    <row r="33" spans="2:7" x14ac:dyDescent="0.2">
      <c r="B33" s="3" t="s">
        <v>165</v>
      </c>
      <c r="C33" s="3" t="s">
        <v>132</v>
      </c>
      <c r="D33" s="3">
        <v>5000</v>
      </c>
      <c r="E33" s="3" t="s">
        <v>275</v>
      </c>
      <c r="F33" s="3" t="s">
        <v>219</v>
      </c>
      <c r="G33" s="3">
        <v>0</v>
      </c>
    </row>
    <row r="34" spans="2:7" x14ac:dyDescent="0.2">
      <c r="B34" s="3" t="s">
        <v>166</v>
      </c>
      <c r="C34" s="3" t="s">
        <v>133</v>
      </c>
      <c r="D34" s="3">
        <v>-40000</v>
      </c>
      <c r="E34" s="3" t="s">
        <v>276</v>
      </c>
      <c r="F34" s="3" t="s">
        <v>236</v>
      </c>
      <c r="G34" s="3">
        <v>40000</v>
      </c>
    </row>
    <row r="35" spans="2:7" x14ac:dyDescent="0.2">
      <c r="B35" s="3" t="s">
        <v>167</v>
      </c>
      <c r="C35" s="3" t="s">
        <v>134</v>
      </c>
      <c r="D35" s="3">
        <v>0</v>
      </c>
      <c r="E35" s="3" t="s">
        <v>277</v>
      </c>
      <c r="F35" s="3" t="s">
        <v>219</v>
      </c>
      <c r="G35" s="3">
        <v>0</v>
      </c>
    </row>
    <row r="36" spans="2:7" x14ac:dyDescent="0.2">
      <c r="B36" s="3" t="s">
        <v>168</v>
      </c>
      <c r="C36" s="3" t="s">
        <v>135</v>
      </c>
      <c r="D36" s="3">
        <v>104000</v>
      </c>
      <c r="E36" s="3" t="s">
        <v>278</v>
      </c>
      <c r="F36" s="3" t="s">
        <v>236</v>
      </c>
      <c r="G36" s="3">
        <v>104000</v>
      </c>
    </row>
    <row r="37" spans="2:7" x14ac:dyDescent="0.2">
      <c r="B37" s="3" t="s">
        <v>169</v>
      </c>
      <c r="C37" s="3" t="s">
        <v>136</v>
      </c>
      <c r="D37" s="3">
        <v>29000</v>
      </c>
      <c r="E37" s="3" t="s">
        <v>279</v>
      </c>
      <c r="F37" s="3" t="s">
        <v>236</v>
      </c>
      <c r="G37" s="3">
        <v>29000</v>
      </c>
    </row>
    <row r="38" spans="2:7" ht="15" thickBot="1" x14ac:dyDescent="0.25">
      <c r="B38" s="4" t="s">
        <v>83</v>
      </c>
      <c r="C38" s="4" t="s">
        <v>127</v>
      </c>
      <c r="D38" s="4">
        <v>50000</v>
      </c>
      <c r="E38" s="4" t="s">
        <v>256</v>
      </c>
      <c r="F38" s="4" t="s">
        <v>236</v>
      </c>
      <c r="G38" s="4">
        <v>50000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C0222-F61E-42AA-ACE5-ACD3627175AA}">
  <dimension ref="A1:H26"/>
  <sheetViews>
    <sheetView showGridLines="0" workbookViewId="0"/>
  </sheetViews>
  <sheetFormatPr baseColWidth="10" defaultRowHeight="14.25" x14ac:dyDescent="0.2"/>
  <cols>
    <col min="1" max="1" width="2.25" customWidth="1"/>
    <col min="2" max="2" width="6" bestFit="1" customWidth="1"/>
    <col min="3" max="3" width="15.5" bestFit="1" customWidth="1"/>
    <col min="4" max="4" width="6.875" bestFit="1" customWidth="1"/>
    <col min="5" max="5" width="9.25" bestFit="1" customWidth="1"/>
    <col min="6" max="6" width="12.875" bestFit="1" customWidth="1"/>
    <col min="7" max="8" width="10.25" bestFit="1" customWidth="1"/>
  </cols>
  <sheetData>
    <row r="1" spans="1:8" ht="15" x14ac:dyDescent="0.25">
      <c r="A1" s="2" t="s">
        <v>149</v>
      </c>
    </row>
    <row r="2" spans="1:8" ht="15" x14ac:dyDescent="0.25">
      <c r="A2" s="2" t="s">
        <v>159</v>
      </c>
    </row>
    <row r="3" spans="1:8" ht="15" x14ac:dyDescent="0.25">
      <c r="A3" s="2" t="s">
        <v>160</v>
      </c>
    </row>
    <row r="6" spans="1:8" ht="15" thickBot="1" x14ac:dyDescent="0.25">
      <c r="A6" t="s">
        <v>9</v>
      </c>
    </row>
    <row r="7" spans="1:8" ht="15" x14ac:dyDescent="0.25">
      <c r="B7" s="5"/>
      <c r="C7" s="5"/>
      <c r="D7" s="5" t="s">
        <v>13</v>
      </c>
      <c r="E7" s="5" t="s">
        <v>14</v>
      </c>
      <c r="F7" s="5" t="s">
        <v>0</v>
      </c>
      <c r="G7" s="5" t="s">
        <v>15</v>
      </c>
      <c r="H7" s="5" t="s">
        <v>15</v>
      </c>
    </row>
    <row r="8" spans="1:8" ht="15.75" thickBot="1" x14ac:dyDescent="0.3">
      <c r="B8" s="6" t="s">
        <v>1</v>
      </c>
      <c r="C8" s="6" t="s">
        <v>2</v>
      </c>
      <c r="D8" s="6" t="s">
        <v>3</v>
      </c>
      <c r="E8" s="6" t="s">
        <v>16</v>
      </c>
      <c r="F8" s="6" t="s">
        <v>17</v>
      </c>
      <c r="G8" s="6" t="s">
        <v>150</v>
      </c>
      <c r="H8" s="6" t="s">
        <v>151</v>
      </c>
    </row>
    <row r="9" spans="1:8" x14ac:dyDescent="0.2">
      <c r="B9" s="3" t="s">
        <v>76</v>
      </c>
      <c r="C9" s="3" t="s">
        <v>161</v>
      </c>
      <c r="D9" s="3">
        <v>36000</v>
      </c>
      <c r="E9" s="3">
        <v>0</v>
      </c>
      <c r="F9" s="3">
        <v>4000</v>
      </c>
      <c r="G9" s="3">
        <v>0</v>
      </c>
      <c r="H9" s="3">
        <v>1250.0000000000045</v>
      </c>
    </row>
    <row r="10" spans="1:8" x14ac:dyDescent="0.2">
      <c r="B10" s="3" t="s">
        <v>78</v>
      </c>
      <c r="C10" s="3" t="s">
        <v>162</v>
      </c>
      <c r="D10" s="3">
        <v>14000</v>
      </c>
      <c r="E10" s="3">
        <v>0</v>
      </c>
      <c r="F10" s="3">
        <v>-3000</v>
      </c>
      <c r="G10" s="3">
        <v>1250.0000000000048</v>
      </c>
      <c r="H10" s="3">
        <v>0</v>
      </c>
    </row>
    <row r="11" spans="1:8" x14ac:dyDescent="0.2">
      <c r="B11" s="3" t="s">
        <v>79</v>
      </c>
      <c r="C11" s="3" t="s">
        <v>163</v>
      </c>
      <c r="D11" s="3">
        <v>4000</v>
      </c>
      <c r="E11" s="3">
        <v>0</v>
      </c>
      <c r="F11" s="3">
        <v>6000</v>
      </c>
      <c r="G11" s="3">
        <v>1250.0000000000045</v>
      </c>
      <c r="H11" s="3">
        <v>0</v>
      </c>
    </row>
    <row r="12" spans="1:8" ht="15" thickBot="1" x14ac:dyDescent="0.25">
      <c r="B12" s="4" t="s">
        <v>80</v>
      </c>
      <c r="C12" s="4" t="s">
        <v>164</v>
      </c>
      <c r="D12" s="4">
        <v>1000</v>
      </c>
      <c r="E12" s="4">
        <v>0</v>
      </c>
      <c r="F12" s="4">
        <v>-1000</v>
      </c>
      <c r="G12" s="4">
        <v>0</v>
      </c>
      <c r="H12" s="4">
        <v>1E+30</v>
      </c>
    </row>
    <row r="14" spans="1:8" ht="15" thickBot="1" x14ac:dyDescent="0.25">
      <c r="A14" t="s">
        <v>10</v>
      </c>
    </row>
    <row r="15" spans="1:8" ht="15" x14ac:dyDescent="0.25">
      <c r="B15" s="5"/>
      <c r="C15" s="5"/>
      <c r="D15" s="5" t="s">
        <v>13</v>
      </c>
      <c r="E15" s="5" t="s">
        <v>18</v>
      </c>
      <c r="F15" s="5" t="s">
        <v>19</v>
      </c>
      <c r="G15" s="5" t="s">
        <v>15</v>
      </c>
      <c r="H15" s="5" t="s">
        <v>15</v>
      </c>
    </row>
    <row r="16" spans="1:8" ht="15.75" thickBot="1" x14ac:dyDescent="0.3">
      <c r="B16" s="6" t="s">
        <v>1</v>
      </c>
      <c r="C16" s="6" t="s">
        <v>2</v>
      </c>
      <c r="D16" s="6" t="s">
        <v>3</v>
      </c>
      <c r="E16" s="6" t="s">
        <v>20</v>
      </c>
      <c r="F16" s="6" t="s">
        <v>21</v>
      </c>
      <c r="G16" s="6" t="s">
        <v>150</v>
      </c>
      <c r="H16" s="6" t="s">
        <v>151</v>
      </c>
    </row>
    <row r="17" spans="2:8" x14ac:dyDescent="0.2">
      <c r="B17" s="3" t="s">
        <v>85</v>
      </c>
      <c r="C17" s="3" t="s">
        <v>128</v>
      </c>
      <c r="D17" s="3">
        <v>5000</v>
      </c>
      <c r="E17" s="3">
        <v>0</v>
      </c>
      <c r="F17" s="3">
        <v>20000</v>
      </c>
      <c r="G17" s="3">
        <v>1E+30</v>
      </c>
      <c r="H17" s="3">
        <v>15000</v>
      </c>
    </row>
    <row r="18" spans="2:8" x14ac:dyDescent="0.2">
      <c r="B18" s="3" t="s">
        <v>87</v>
      </c>
      <c r="C18" s="3" t="s">
        <v>129</v>
      </c>
      <c r="D18" s="3">
        <v>40000</v>
      </c>
      <c r="E18" s="3">
        <v>7000.0000000000045</v>
      </c>
      <c r="F18" s="3">
        <v>40000</v>
      </c>
      <c r="G18" s="3">
        <v>4000</v>
      </c>
      <c r="H18" s="3">
        <v>36000</v>
      </c>
    </row>
    <row r="19" spans="2:8" x14ac:dyDescent="0.2">
      <c r="B19" s="3" t="s">
        <v>89</v>
      </c>
      <c r="C19" s="3" t="s">
        <v>130</v>
      </c>
      <c r="D19" s="3">
        <v>15000</v>
      </c>
      <c r="E19" s="3">
        <v>0</v>
      </c>
      <c r="F19" s="3">
        <v>60000</v>
      </c>
      <c r="G19" s="3">
        <v>1E+30</v>
      </c>
      <c r="H19" s="3">
        <v>45000</v>
      </c>
    </row>
    <row r="20" spans="2:8" x14ac:dyDescent="0.2">
      <c r="B20" s="3" t="s">
        <v>91</v>
      </c>
      <c r="C20" s="3" t="s">
        <v>131</v>
      </c>
      <c r="D20" s="3">
        <v>50000</v>
      </c>
      <c r="E20" s="3">
        <v>-3000.0000000000036</v>
      </c>
      <c r="F20" s="3">
        <v>50000</v>
      </c>
      <c r="G20" s="3">
        <v>45000.000000000007</v>
      </c>
      <c r="H20" s="3">
        <v>5000</v>
      </c>
    </row>
    <row r="21" spans="2:8" x14ac:dyDescent="0.2">
      <c r="B21" s="3" t="s">
        <v>165</v>
      </c>
      <c r="C21" s="3" t="s">
        <v>132</v>
      </c>
      <c r="D21" s="3">
        <v>5000</v>
      </c>
      <c r="E21" s="3">
        <v>-1000.0000000000036</v>
      </c>
      <c r="F21" s="3">
        <v>5000</v>
      </c>
      <c r="G21" s="3">
        <v>15000</v>
      </c>
      <c r="H21" s="3">
        <v>5000</v>
      </c>
    </row>
    <row r="22" spans="2:8" x14ac:dyDescent="0.2">
      <c r="B22" s="3" t="s">
        <v>166</v>
      </c>
      <c r="C22" s="3" t="s">
        <v>133</v>
      </c>
      <c r="D22" s="3">
        <v>-40000</v>
      </c>
      <c r="E22" s="3">
        <v>0</v>
      </c>
      <c r="F22" s="3">
        <v>0</v>
      </c>
      <c r="G22" s="3">
        <v>1E+30</v>
      </c>
      <c r="H22" s="3">
        <v>40000</v>
      </c>
    </row>
    <row r="23" spans="2:8" x14ac:dyDescent="0.2">
      <c r="B23" s="3" t="s">
        <v>167</v>
      </c>
      <c r="C23" s="3" t="s">
        <v>134</v>
      </c>
      <c r="D23" s="3">
        <v>0</v>
      </c>
      <c r="E23" s="3">
        <v>0</v>
      </c>
      <c r="F23" s="3">
        <v>0</v>
      </c>
      <c r="G23" s="3">
        <v>10000</v>
      </c>
      <c r="H23" s="3">
        <v>39999.999999999985</v>
      </c>
    </row>
    <row r="24" spans="2:8" x14ac:dyDescent="0.2">
      <c r="B24" s="3" t="s">
        <v>168</v>
      </c>
      <c r="C24" s="3" t="s">
        <v>135</v>
      </c>
      <c r="D24" s="3">
        <v>104000</v>
      </c>
      <c r="E24" s="3">
        <v>0</v>
      </c>
      <c r="F24" s="3">
        <v>0</v>
      </c>
      <c r="G24" s="3">
        <v>103999.99999999999</v>
      </c>
      <c r="H24" s="3">
        <v>1E+30</v>
      </c>
    </row>
    <row r="25" spans="2:8" x14ac:dyDescent="0.2">
      <c r="B25" s="3" t="s">
        <v>169</v>
      </c>
      <c r="C25" s="3" t="s">
        <v>136</v>
      </c>
      <c r="D25" s="3">
        <v>29000</v>
      </c>
      <c r="E25" s="3">
        <v>0</v>
      </c>
      <c r="F25" s="3">
        <v>0</v>
      </c>
      <c r="G25" s="3">
        <v>29000</v>
      </c>
      <c r="H25" s="3">
        <v>1E+30</v>
      </c>
    </row>
    <row r="26" spans="2:8" ht="15" thickBot="1" x14ac:dyDescent="0.25">
      <c r="B26" s="4" t="s">
        <v>83</v>
      </c>
      <c r="C26" s="4" t="s">
        <v>127</v>
      </c>
      <c r="D26" s="4">
        <v>50000</v>
      </c>
      <c r="E26" s="4">
        <v>0</v>
      </c>
      <c r="F26" s="4">
        <v>100000</v>
      </c>
      <c r="G26" s="4">
        <v>1E+30</v>
      </c>
      <c r="H26" s="4">
        <v>50000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CDFD8-B3DC-428B-9ED3-2653F338EDC6}">
  <dimension ref="A1:H14"/>
  <sheetViews>
    <sheetView workbookViewId="0">
      <selection sqref="A1:H14"/>
    </sheetView>
  </sheetViews>
  <sheetFormatPr baseColWidth="10" defaultColWidth="10.5" defaultRowHeight="14.25" x14ac:dyDescent="0.2"/>
  <cols>
    <col min="1" max="1" width="12.5" bestFit="1" customWidth="1"/>
    <col min="2" max="2" width="10.5" bestFit="1" customWidth="1"/>
    <col min="3" max="3" width="5.25" bestFit="1" customWidth="1"/>
    <col min="4" max="5" width="10.5" bestFit="1" customWidth="1"/>
    <col min="6" max="6" width="2.625" bestFit="1" customWidth="1"/>
    <col min="7" max="7" width="5.25" bestFit="1" customWidth="1"/>
  </cols>
  <sheetData>
    <row r="1" spans="1:8" ht="15" x14ac:dyDescent="0.25">
      <c r="A1" s="7" t="s">
        <v>137</v>
      </c>
      <c r="B1" s="7">
        <f>SUMPRODUCT(B4:D4,B5:D5)</f>
        <v>123333.33333333333</v>
      </c>
      <c r="C1" s="7"/>
      <c r="D1" s="7"/>
      <c r="E1" s="7"/>
      <c r="F1" s="7"/>
      <c r="G1" s="7"/>
      <c r="H1" s="7"/>
    </row>
    <row r="2" spans="1:8" ht="15" x14ac:dyDescent="0.25">
      <c r="A2" s="7"/>
      <c r="B2" s="7"/>
      <c r="C2" s="7"/>
      <c r="D2" s="7"/>
      <c r="E2" s="7"/>
      <c r="F2" s="7"/>
      <c r="G2" s="7"/>
      <c r="H2" s="7"/>
    </row>
    <row r="3" spans="1:8" ht="15" x14ac:dyDescent="0.25">
      <c r="A3" s="7" t="s">
        <v>138</v>
      </c>
      <c r="B3" s="7" t="s">
        <v>139</v>
      </c>
      <c r="C3" s="7" t="s">
        <v>140</v>
      </c>
      <c r="D3" s="7" t="s">
        <v>141</v>
      </c>
      <c r="E3" s="7"/>
      <c r="F3" s="7"/>
      <c r="G3" s="7"/>
      <c r="H3" s="7"/>
    </row>
    <row r="4" spans="1:8" ht="15" x14ac:dyDescent="0.25">
      <c r="A4" s="7" t="s">
        <v>43</v>
      </c>
      <c r="B4" s="7">
        <v>0</v>
      </c>
      <c r="C4" s="7">
        <v>0</v>
      </c>
      <c r="D4" s="7">
        <v>3.083333333333333</v>
      </c>
      <c r="E4" s="7"/>
      <c r="F4" s="7"/>
      <c r="G4" s="7"/>
      <c r="H4" s="7"/>
    </row>
    <row r="5" spans="1:8" ht="15" x14ac:dyDescent="0.25">
      <c r="A5" s="7" t="s">
        <v>142</v>
      </c>
      <c r="B5" s="7">
        <v>100000</v>
      </c>
      <c r="C5" s="7">
        <v>18000</v>
      </c>
      <c r="D5" s="7">
        <v>40000</v>
      </c>
      <c r="E5" s="7"/>
      <c r="F5" s="7"/>
      <c r="G5" s="7"/>
      <c r="H5" s="7"/>
    </row>
    <row r="6" spans="1:8" ht="15" x14ac:dyDescent="0.25">
      <c r="A6" s="7"/>
      <c r="B6" s="7"/>
      <c r="C6" s="7"/>
      <c r="D6" s="7"/>
      <c r="E6" s="7"/>
      <c r="F6" s="7"/>
      <c r="G6" s="7"/>
      <c r="H6" s="7"/>
    </row>
    <row r="7" spans="1:8" ht="15" x14ac:dyDescent="0.25">
      <c r="A7" s="7" t="s">
        <v>10</v>
      </c>
      <c r="B7" s="7"/>
      <c r="C7" s="7"/>
      <c r="D7" s="7"/>
      <c r="E7" s="7"/>
      <c r="F7" s="7"/>
      <c r="G7" s="7"/>
      <c r="H7" s="7"/>
    </row>
    <row r="8" spans="1:8" ht="15" x14ac:dyDescent="0.25">
      <c r="A8" s="7" t="s">
        <v>143</v>
      </c>
      <c r="B8" s="7">
        <v>20000</v>
      </c>
      <c r="C8" s="7">
        <v>3000</v>
      </c>
      <c r="D8" s="7">
        <v>6000</v>
      </c>
      <c r="E8" s="7">
        <f>SUMPRODUCT(B4:D4,B8:D8)</f>
        <v>18500</v>
      </c>
      <c r="F8" s="7" t="s">
        <v>30</v>
      </c>
      <c r="G8" s="7">
        <v>18500</v>
      </c>
      <c r="H8" s="7"/>
    </row>
    <row r="9" spans="1:8" ht="15" x14ac:dyDescent="0.25">
      <c r="A9" s="7" t="s">
        <v>144</v>
      </c>
      <c r="B9" s="7">
        <v>1</v>
      </c>
      <c r="C9" s="7">
        <v>0</v>
      </c>
      <c r="D9" s="7">
        <v>0</v>
      </c>
      <c r="E9" s="7">
        <f>SUMPRODUCT(B4:D4,B9:D9)</f>
        <v>0</v>
      </c>
      <c r="F9" s="7" t="s">
        <v>30</v>
      </c>
      <c r="G9" s="7">
        <v>10</v>
      </c>
      <c r="H9" s="7"/>
    </row>
    <row r="10" spans="1:8" ht="15" x14ac:dyDescent="0.25">
      <c r="A10" s="7" t="s">
        <v>145</v>
      </c>
      <c r="B10" s="7">
        <v>0</v>
      </c>
      <c r="C10" s="7">
        <v>1</v>
      </c>
      <c r="D10" s="7">
        <v>0</v>
      </c>
      <c r="E10" s="7">
        <f>SUMPRODUCT(B4:D4,B10:D10)</f>
        <v>0</v>
      </c>
      <c r="F10" s="7" t="s">
        <v>30</v>
      </c>
      <c r="G10" s="7">
        <v>20</v>
      </c>
      <c r="H10" s="7"/>
    </row>
    <row r="11" spans="1:8" ht="15" x14ac:dyDescent="0.25">
      <c r="A11" s="7" t="s">
        <v>146</v>
      </c>
      <c r="B11" s="7">
        <v>0</v>
      </c>
      <c r="C11" s="7">
        <v>0</v>
      </c>
      <c r="D11" s="7">
        <v>1</v>
      </c>
      <c r="E11" s="7">
        <f>SUMPRODUCT(B4:D4,B11:D11)</f>
        <v>3.083333333333333</v>
      </c>
      <c r="F11" s="7" t="s">
        <v>30</v>
      </c>
      <c r="G11" s="7">
        <v>10</v>
      </c>
      <c r="H11" s="7"/>
    </row>
    <row r="12" spans="1:8" ht="15" x14ac:dyDescent="0.25">
      <c r="A12" s="7" t="s">
        <v>147</v>
      </c>
      <c r="B12" s="7">
        <v>-1</v>
      </c>
      <c r="C12" s="7">
        <v>1</v>
      </c>
      <c r="D12" s="7">
        <v>-1</v>
      </c>
      <c r="E12" s="7">
        <f>SUMPRODUCT(B4:D4,B12:D12)</f>
        <v>-3.083333333333333</v>
      </c>
      <c r="F12" s="7" t="s">
        <v>30</v>
      </c>
      <c r="G12" s="7">
        <v>0</v>
      </c>
      <c r="H12" s="7"/>
    </row>
    <row r="13" spans="1:8" ht="15" x14ac:dyDescent="0.25">
      <c r="A13" s="7" t="s">
        <v>148</v>
      </c>
      <c r="B13" s="7">
        <v>9</v>
      </c>
      <c r="C13" s="7">
        <v>1</v>
      </c>
      <c r="D13" s="7">
        <v>1</v>
      </c>
      <c r="E13" s="7">
        <f>SUMPRODUCT(B4:D4,B13:D13)</f>
        <v>3.083333333333333</v>
      </c>
      <c r="F13" s="7" t="s">
        <v>73</v>
      </c>
      <c r="G13" s="7">
        <v>0</v>
      </c>
      <c r="H13" s="7"/>
    </row>
    <row r="14" spans="1:8" ht="15" x14ac:dyDescent="0.25">
      <c r="A14" s="7"/>
      <c r="B14" s="7"/>
      <c r="C14" s="7"/>
      <c r="D14" s="7"/>
      <c r="E14" s="7"/>
      <c r="F14" s="7"/>
      <c r="G14" s="7"/>
      <c r="H14" s="7"/>
    </row>
  </sheetData>
  <sheetProtection selectLockedCells="1" selectUnlockedCells="1"/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 scaleWithDoc="0" alignWithMargins="0">
    <oddHeader>&amp;C&amp;"arial,Regular"&amp;10&amp;A</oddHeader>
    <oddFooter>&amp;C&amp;"arial,Regular"&amp;10Página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1B729-154D-401F-AC92-C22834D0DF4A}">
  <dimension ref="A1:J15"/>
  <sheetViews>
    <sheetView showGridLines="0" workbookViewId="0">
      <selection sqref="A1:A3"/>
    </sheetView>
  </sheetViews>
  <sheetFormatPr baseColWidth="10" defaultRowHeight="14.25" x14ac:dyDescent="0.2"/>
  <cols>
    <col min="1" max="1" width="2.125" customWidth="1"/>
    <col min="2" max="2" width="6" bestFit="1" customWidth="1"/>
    <col min="3" max="3" width="8" bestFit="1" customWidth="1"/>
    <col min="4" max="4" width="8.875" bestFit="1" customWidth="1"/>
    <col min="5" max="5" width="2.125" customWidth="1"/>
    <col min="6" max="6" width="7.375" bestFit="1" customWidth="1"/>
    <col min="7" max="7" width="9.875" bestFit="1" customWidth="1"/>
    <col min="8" max="8" width="2.125" customWidth="1"/>
    <col min="9" max="9" width="8.625" bestFit="1" customWidth="1"/>
    <col min="10" max="10" width="9.875" bestFit="1" customWidth="1"/>
  </cols>
  <sheetData>
    <row r="1" spans="1:10" ht="15" x14ac:dyDescent="0.25">
      <c r="A1" s="2" t="s">
        <v>221</v>
      </c>
    </row>
    <row r="2" spans="1:10" ht="15" x14ac:dyDescent="0.25">
      <c r="A2" s="2" t="s">
        <v>280</v>
      </c>
    </row>
    <row r="3" spans="1:10" ht="15" x14ac:dyDescent="0.25">
      <c r="A3" s="2" t="s">
        <v>281</v>
      </c>
    </row>
    <row r="5" spans="1:10" ht="15" thickBot="1" x14ac:dyDescent="0.25"/>
    <row r="6" spans="1:10" ht="15" x14ac:dyDescent="0.25">
      <c r="B6" s="5"/>
      <c r="C6" s="5" t="s">
        <v>0</v>
      </c>
      <c r="D6" s="5"/>
    </row>
    <row r="7" spans="1:10" ht="15.75" thickBot="1" x14ac:dyDescent="0.3">
      <c r="B7" s="6" t="s">
        <v>1</v>
      </c>
      <c r="C7" s="6" t="s">
        <v>2</v>
      </c>
      <c r="D7" s="6" t="s">
        <v>3</v>
      </c>
    </row>
    <row r="8" spans="1:10" ht="15" thickBot="1" x14ac:dyDescent="0.25">
      <c r="B8" s="4" t="s">
        <v>234</v>
      </c>
      <c r="C8" s="4" t="s">
        <v>137</v>
      </c>
      <c r="D8" s="4">
        <v>123333.33333333333</v>
      </c>
    </row>
    <row r="10" spans="1:10" ht="15" thickBot="1" x14ac:dyDescent="0.25"/>
    <row r="11" spans="1:10" ht="15" x14ac:dyDescent="0.25">
      <c r="B11" s="5"/>
      <c r="C11" s="5" t="s">
        <v>222</v>
      </c>
      <c r="D11" s="5"/>
      <c r="F11" s="5" t="s">
        <v>223</v>
      </c>
      <c r="G11" s="5" t="s">
        <v>0</v>
      </c>
      <c r="I11" s="5" t="s">
        <v>226</v>
      </c>
      <c r="J11" s="5" t="s">
        <v>0</v>
      </c>
    </row>
    <row r="12" spans="1:10" ht="15.75" thickBot="1" x14ac:dyDescent="0.3">
      <c r="B12" s="6" t="s">
        <v>1</v>
      </c>
      <c r="C12" s="6" t="s">
        <v>2</v>
      </c>
      <c r="D12" s="6" t="s">
        <v>3</v>
      </c>
      <c r="F12" s="6" t="s">
        <v>224</v>
      </c>
      <c r="G12" s="6" t="s">
        <v>225</v>
      </c>
      <c r="I12" s="6" t="s">
        <v>224</v>
      </c>
      <c r="J12" s="6" t="s">
        <v>225</v>
      </c>
    </row>
    <row r="13" spans="1:10" x14ac:dyDescent="0.2">
      <c r="B13" s="3" t="s">
        <v>76</v>
      </c>
      <c r="C13" s="3" t="s">
        <v>171</v>
      </c>
      <c r="D13" s="3">
        <v>0</v>
      </c>
      <c r="F13" s="3">
        <v>0</v>
      </c>
      <c r="G13" s="3">
        <v>123333.33333333333</v>
      </c>
      <c r="I13" s="3">
        <v>0</v>
      </c>
      <c r="J13" s="3">
        <v>123333.33333333333</v>
      </c>
    </row>
    <row r="14" spans="1:10" x14ac:dyDescent="0.2">
      <c r="B14" s="3" t="s">
        <v>78</v>
      </c>
      <c r="C14" s="3" t="s">
        <v>172</v>
      </c>
      <c r="D14" s="3">
        <v>0</v>
      </c>
      <c r="F14" s="3">
        <v>0</v>
      </c>
      <c r="G14" s="3">
        <v>123333.33333333333</v>
      </c>
      <c r="I14" s="3">
        <v>0</v>
      </c>
      <c r="J14" s="3">
        <v>123333.33333333333</v>
      </c>
    </row>
    <row r="15" spans="1:10" ht="15" thickBot="1" x14ac:dyDescent="0.25">
      <c r="B15" s="4" t="s">
        <v>79</v>
      </c>
      <c r="C15" s="4" t="s">
        <v>173</v>
      </c>
      <c r="D15" s="4">
        <v>3.083333333333333</v>
      </c>
      <c r="F15" s="4">
        <v>0</v>
      </c>
      <c r="G15" s="4">
        <v>0</v>
      </c>
      <c r="I15" s="4">
        <v>3.083333333333333</v>
      </c>
      <c r="J15" s="4">
        <v>123333.33333333333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C12F3-C7C5-429E-AD6F-1E39219274ED}">
  <dimension ref="A1:G33"/>
  <sheetViews>
    <sheetView showGridLines="0" workbookViewId="0"/>
  </sheetViews>
  <sheetFormatPr baseColWidth="10" defaultRowHeight="14.25" x14ac:dyDescent="0.2"/>
  <cols>
    <col min="1" max="1" width="2.125" customWidth="1"/>
    <col min="2" max="2" width="6.125" bestFit="1" customWidth="1"/>
    <col min="3" max="3" width="16.875" bestFit="1" customWidth="1"/>
    <col min="4" max="4" width="15.375" bestFit="1" customWidth="1"/>
    <col min="5" max="5" width="13.75" bestFit="1" customWidth="1"/>
    <col min="6" max="6" width="11.75" bestFit="1" customWidth="1"/>
    <col min="7" max="7" width="11.875" bestFit="1" customWidth="1"/>
  </cols>
  <sheetData>
    <row r="1" spans="1:5" ht="15" x14ac:dyDescent="0.25">
      <c r="A1" s="2" t="s">
        <v>197</v>
      </c>
    </row>
    <row r="2" spans="1:5" ht="15" x14ac:dyDescent="0.25">
      <c r="A2" s="2" t="s">
        <v>280</v>
      </c>
    </row>
    <row r="3" spans="1:5" ht="15" x14ac:dyDescent="0.25">
      <c r="A3" s="2" t="s">
        <v>281</v>
      </c>
    </row>
    <row r="4" spans="1:5" ht="15" x14ac:dyDescent="0.25">
      <c r="A4" s="2" t="s">
        <v>200</v>
      </c>
    </row>
    <row r="5" spans="1:5" ht="15" x14ac:dyDescent="0.25">
      <c r="A5" s="2" t="s">
        <v>201</v>
      </c>
    </row>
    <row r="6" spans="1:5" ht="15" x14ac:dyDescent="0.25">
      <c r="A6" s="2"/>
      <c r="B6" t="s">
        <v>202</v>
      </c>
    </row>
    <row r="7" spans="1:5" ht="15" x14ac:dyDescent="0.25">
      <c r="A7" s="2"/>
      <c r="B7" t="s">
        <v>230</v>
      </c>
    </row>
    <row r="8" spans="1:5" ht="15" x14ac:dyDescent="0.25">
      <c r="A8" s="2"/>
      <c r="B8" t="s">
        <v>231</v>
      </c>
    </row>
    <row r="9" spans="1:5" ht="15" x14ac:dyDescent="0.25">
      <c r="A9" s="2" t="s">
        <v>205</v>
      </c>
    </row>
    <row r="10" spans="1:5" x14ac:dyDescent="0.2">
      <c r="B10" t="s">
        <v>265</v>
      </c>
    </row>
    <row r="11" spans="1:5" x14ac:dyDescent="0.2">
      <c r="B11" t="s">
        <v>207</v>
      </c>
    </row>
    <row r="14" spans="1:5" ht="15" thickBot="1" x14ac:dyDescent="0.25">
      <c r="A14" t="s">
        <v>233</v>
      </c>
    </row>
    <row r="15" spans="1:5" ht="15.75" thickBot="1" x14ac:dyDescent="0.3">
      <c r="B15" s="9" t="s">
        <v>1</v>
      </c>
      <c r="C15" s="9" t="s">
        <v>2</v>
      </c>
      <c r="D15" s="9" t="s">
        <v>209</v>
      </c>
      <c r="E15" s="9" t="s">
        <v>210</v>
      </c>
    </row>
    <row r="16" spans="1:5" ht="15" thickBot="1" x14ac:dyDescent="0.25">
      <c r="B16" s="4" t="s">
        <v>234</v>
      </c>
      <c r="C16" s="4" t="s">
        <v>137</v>
      </c>
      <c r="D16" s="4">
        <v>123333.33333333333</v>
      </c>
      <c r="E16" s="4">
        <v>123333.33333333333</v>
      </c>
    </row>
    <row r="19" spans="1:7" ht="15" thickBot="1" x14ac:dyDescent="0.25">
      <c r="A19" t="s">
        <v>9</v>
      </c>
    </row>
    <row r="20" spans="1:7" ht="15.75" thickBot="1" x14ac:dyDescent="0.3">
      <c r="B20" s="9" t="s">
        <v>1</v>
      </c>
      <c r="C20" s="9" t="s">
        <v>2</v>
      </c>
      <c r="D20" s="9" t="s">
        <v>209</v>
      </c>
      <c r="E20" s="9" t="s">
        <v>210</v>
      </c>
      <c r="F20" s="9" t="s">
        <v>211</v>
      </c>
    </row>
    <row r="21" spans="1:7" x14ac:dyDescent="0.2">
      <c r="B21" s="3" t="s">
        <v>76</v>
      </c>
      <c r="C21" s="3" t="s">
        <v>171</v>
      </c>
      <c r="D21" s="3">
        <v>0</v>
      </c>
      <c r="E21" s="3">
        <v>0</v>
      </c>
      <c r="F21" s="3" t="s">
        <v>217</v>
      </c>
    </row>
    <row r="22" spans="1:7" x14ac:dyDescent="0.2">
      <c r="B22" s="3" t="s">
        <v>78</v>
      </c>
      <c r="C22" s="3" t="s">
        <v>172</v>
      </c>
      <c r="D22" s="3">
        <v>0</v>
      </c>
      <c r="E22" s="3">
        <v>0</v>
      </c>
      <c r="F22" s="3" t="s">
        <v>217</v>
      </c>
    </row>
    <row r="23" spans="1:7" ht="15" thickBot="1" x14ac:dyDescent="0.25">
      <c r="B23" s="4" t="s">
        <v>79</v>
      </c>
      <c r="C23" s="4" t="s">
        <v>173</v>
      </c>
      <c r="D23" s="4">
        <v>3.083333333333333</v>
      </c>
      <c r="E23" s="4">
        <v>3.083333333333333</v>
      </c>
      <c r="F23" s="4" t="s">
        <v>217</v>
      </c>
    </row>
    <row r="26" spans="1:7" ht="15" thickBot="1" x14ac:dyDescent="0.25">
      <c r="A26" t="s">
        <v>10</v>
      </c>
    </row>
    <row r="27" spans="1:7" ht="15.75" thickBot="1" x14ac:dyDescent="0.3">
      <c r="B27" s="9" t="s">
        <v>1</v>
      </c>
      <c r="C27" s="9" t="s">
        <v>2</v>
      </c>
      <c r="D27" s="9" t="s">
        <v>212</v>
      </c>
      <c r="E27" s="9" t="s">
        <v>213</v>
      </c>
      <c r="F27" s="9" t="s">
        <v>214</v>
      </c>
      <c r="G27" s="9" t="s">
        <v>215</v>
      </c>
    </row>
    <row r="28" spans="1:7" x14ac:dyDescent="0.2">
      <c r="B28" s="3" t="s">
        <v>102</v>
      </c>
      <c r="C28" s="3" t="s">
        <v>145</v>
      </c>
      <c r="D28" s="3">
        <v>0</v>
      </c>
      <c r="E28" s="3" t="s">
        <v>282</v>
      </c>
      <c r="F28" s="3" t="s">
        <v>236</v>
      </c>
      <c r="G28" s="3">
        <v>20</v>
      </c>
    </row>
    <row r="29" spans="1:7" x14ac:dyDescent="0.2">
      <c r="B29" s="3" t="s">
        <v>104</v>
      </c>
      <c r="C29" s="3" t="s">
        <v>146</v>
      </c>
      <c r="D29" s="3">
        <v>3.083333333333333</v>
      </c>
      <c r="E29" s="3" t="s">
        <v>262</v>
      </c>
      <c r="F29" s="3" t="s">
        <v>236</v>
      </c>
      <c r="G29" s="3">
        <v>6.916666666666667</v>
      </c>
    </row>
    <row r="30" spans="1:7" x14ac:dyDescent="0.2">
      <c r="B30" s="3" t="s">
        <v>174</v>
      </c>
      <c r="C30" s="3" t="s">
        <v>147</v>
      </c>
      <c r="D30" s="3">
        <v>-3.083333333333333</v>
      </c>
      <c r="E30" s="3" t="s">
        <v>283</v>
      </c>
      <c r="F30" s="3" t="s">
        <v>236</v>
      </c>
      <c r="G30" s="3">
        <v>3.083333333333333</v>
      </c>
    </row>
    <row r="31" spans="1:7" x14ac:dyDescent="0.2">
      <c r="B31" s="3" t="s">
        <v>175</v>
      </c>
      <c r="C31" s="3" t="s">
        <v>148</v>
      </c>
      <c r="D31" s="3">
        <v>3.083333333333333</v>
      </c>
      <c r="E31" s="3" t="s">
        <v>284</v>
      </c>
      <c r="F31" s="3" t="s">
        <v>236</v>
      </c>
      <c r="G31" s="3">
        <v>3.083333333333333</v>
      </c>
    </row>
    <row r="32" spans="1:7" x14ac:dyDescent="0.2">
      <c r="B32" s="3" t="s">
        <v>158</v>
      </c>
      <c r="C32" s="3" t="s">
        <v>143</v>
      </c>
      <c r="D32" s="3">
        <v>18500</v>
      </c>
      <c r="E32" s="3" t="s">
        <v>269</v>
      </c>
      <c r="F32" s="3" t="s">
        <v>219</v>
      </c>
      <c r="G32" s="3">
        <v>0</v>
      </c>
    </row>
    <row r="33" spans="2:7" ht="15" thickBot="1" x14ac:dyDescent="0.25">
      <c r="B33" s="4" t="s">
        <v>100</v>
      </c>
      <c r="C33" s="4" t="s">
        <v>144</v>
      </c>
      <c r="D33" s="4">
        <v>0</v>
      </c>
      <c r="E33" s="4" t="s">
        <v>270</v>
      </c>
      <c r="F33" s="4" t="s">
        <v>236</v>
      </c>
      <c r="G33" s="4">
        <v>10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E38F8-D41F-4835-8BED-3AFDB6713706}">
  <dimension ref="A1:H21"/>
  <sheetViews>
    <sheetView showGridLines="0" workbookViewId="0">
      <selection activeCell="K39" sqref="K39:K40"/>
    </sheetView>
  </sheetViews>
  <sheetFormatPr baseColWidth="10" defaultRowHeight="14.25" x14ac:dyDescent="0.2"/>
  <cols>
    <col min="1" max="1" width="2.25" customWidth="1"/>
    <col min="2" max="2" width="6.125" bestFit="1" customWidth="1"/>
    <col min="3" max="3" width="16.875" bestFit="1" customWidth="1"/>
    <col min="4" max="5" width="12.5" bestFit="1" customWidth="1"/>
    <col min="6" max="6" width="12.875" bestFit="1" customWidth="1"/>
    <col min="7" max="8" width="11.875" bestFit="1" customWidth="1"/>
  </cols>
  <sheetData>
    <row r="1" spans="1:8" ht="15" x14ac:dyDescent="0.25">
      <c r="A1" s="2" t="s">
        <v>149</v>
      </c>
    </row>
    <row r="2" spans="1:8" ht="15" x14ac:dyDescent="0.25">
      <c r="A2" s="2" t="s">
        <v>170</v>
      </c>
    </row>
    <row r="3" spans="1:8" ht="15" x14ac:dyDescent="0.25">
      <c r="A3" s="2" t="s">
        <v>176</v>
      </c>
    </row>
    <row r="6" spans="1:8" ht="15" thickBot="1" x14ac:dyDescent="0.25">
      <c r="A6" t="s">
        <v>9</v>
      </c>
    </row>
    <row r="7" spans="1:8" ht="15" x14ac:dyDescent="0.25">
      <c r="B7" s="5"/>
      <c r="C7" s="5"/>
      <c r="D7" s="5" t="s">
        <v>13</v>
      </c>
      <c r="E7" s="5" t="s">
        <v>14</v>
      </c>
      <c r="F7" s="5" t="s">
        <v>0</v>
      </c>
      <c r="G7" s="5" t="s">
        <v>15</v>
      </c>
      <c r="H7" s="5" t="s">
        <v>15</v>
      </c>
    </row>
    <row r="8" spans="1:8" ht="15.75" thickBot="1" x14ac:dyDescent="0.3">
      <c r="B8" s="6" t="s">
        <v>1</v>
      </c>
      <c r="C8" s="6" t="s">
        <v>2</v>
      </c>
      <c r="D8" s="6" t="s">
        <v>3</v>
      </c>
      <c r="E8" s="6" t="s">
        <v>16</v>
      </c>
      <c r="F8" s="6" t="s">
        <v>17</v>
      </c>
      <c r="G8" s="6" t="s">
        <v>150</v>
      </c>
      <c r="H8" s="6" t="s">
        <v>151</v>
      </c>
    </row>
    <row r="9" spans="1:8" x14ac:dyDescent="0.2">
      <c r="B9" s="3" t="s">
        <v>76</v>
      </c>
      <c r="C9" s="3" t="s">
        <v>171</v>
      </c>
      <c r="D9" s="3">
        <v>0</v>
      </c>
      <c r="E9" s="3">
        <v>-33333.333333333343</v>
      </c>
      <c r="F9" s="3">
        <v>100000</v>
      </c>
      <c r="G9" s="3">
        <v>33333.333333333343</v>
      </c>
      <c r="H9" s="3">
        <v>1E+30</v>
      </c>
    </row>
    <row r="10" spans="1:8" x14ac:dyDescent="0.2">
      <c r="B10" s="3" t="s">
        <v>78</v>
      </c>
      <c r="C10" s="3" t="s">
        <v>172</v>
      </c>
      <c r="D10" s="3">
        <v>0</v>
      </c>
      <c r="E10" s="3">
        <v>-2000</v>
      </c>
      <c r="F10" s="3">
        <v>18000</v>
      </c>
      <c r="G10" s="3">
        <v>2000</v>
      </c>
      <c r="H10" s="3">
        <v>1E+30</v>
      </c>
    </row>
    <row r="11" spans="1:8" ht="15" thickBot="1" x14ac:dyDescent="0.25">
      <c r="B11" s="4" t="s">
        <v>79</v>
      </c>
      <c r="C11" s="4" t="s">
        <v>173</v>
      </c>
      <c r="D11" s="4">
        <v>3.083333333333333</v>
      </c>
      <c r="E11" s="4">
        <v>0</v>
      </c>
      <c r="F11" s="4">
        <v>40000</v>
      </c>
      <c r="G11" s="4">
        <v>1E+30</v>
      </c>
      <c r="H11" s="4">
        <v>4000</v>
      </c>
    </row>
    <row r="13" spans="1:8" ht="15" thickBot="1" x14ac:dyDescent="0.25">
      <c r="A13" t="s">
        <v>10</v>
      </c>
    </row>
    <row r="14" spans="1:8" ht="15" x14ac:dyDescent="0.25">
      <c r="B14" s="5"/>
      <c r="C14" s="5"/>
      <c r="D14" s="5" t="s">
        <v>13</v>
      </c>
      <c r="E14" s="5" t="s">
        <v>18</v>
      </c>
      <c r="F14" s="5" t="s">
        <v>19</v>
      </c>
      <c r="G14" s="5" t="s">
        <v>15</v>
      </c>
      <c r="H14" s="5" t="s">
        <v>15</v>
      </c>
    </row>
    <row r="15" spans="1:8" ht="15.75" thickBot="1" x14ac:dyDescent="0.3">
      <c r="B15" s="6" t="s">
        <v>1</v>
      </c>
      <c r="C15" s="6" t="s">
        <v>2</v>
      </c>
      <c r="D15" s="6" t="s">
        <v>3</v>
      </c>
      <c r="E15" s="6" t="s">
        <v>20</v>
      </c>
      <c r="F15" s="6" t="s">
        <v>21</v>
      </c>
      <c r="G15" s="6" t="s">
        <v>150</v>
      </c>
      <c r="H15" s="6" t="s">
        <v>151</v>
      </c>
    </row>
    <row r="16" spans="1:8" x14ac:dyDescent="0.2">
      <c r="B16" s="3" t="s">
        <v>102</v>
      </c>
      <c r="C16" s="3" t="s">
        <v>145</v>
      </c>
      <c r="D16" s="3">
        <v>0</v>
      </c>
      <c r="E16" s="3">
        <v>0</v>
      </c>
      <c r="F16" s="3">
        <v>20</v>
      </c>
      <c r="G16" s="3">
        <v>1E+30</v>
      </c>
      <c r="H16" s="3">
        <v>20</v>
      </c>
    </row>
    <row r="17" spans="2:8" x14ac:dyDescent="0.2">
      <c r="B17" s="3" t="s">
        <v>104</v>
      </c>
      <c r="C17" s="3" t="s">
        <v>146</v>
      </c>
      <c r="D17" s="3">
        <v>3.083333333333333</v>
      </c>
      <c r="E17" s="3">
        <v>0</v>
      </c>
      <c r="F17" s="3">
        <v>10</v>
      </c>
      <c r="G17" s="3">
        <v>1E+30</v>
      </c>
      <c r="H17" s="3">
        <v>6.916666666666667</v>
      </c>
    </row>
    <row r="18" spans="2:8" x14ac:dyDescent="0.2">
      <c r="B18" s="3" t="s">
        <v>174</v>
      </c>
      <c r="C18" s="3" t="s">
        <v>147</v>
      </c>
      <c r="D18" s="3">
        <v>-3.083333333333333</v>
      </c>
      <c r="E18" s="3">
        <v>0</v>
      </c>
      <c r="F18" s="3">
        <v>0</v>
      </c>
      <c r="G18" s="3">
        <v>1E+30</v>
      </c>
      <c r="H18" s="3">
        <v>3.083333333333333</v>
      </c>
    </row>
    <row r="19" spans="2:8" x14ac:dyDescent="0.2">
      <c r="B19" s="3" t="s">
        <v>175</v>
      </c>
      <c r="C19" s="3" t="s">
        <v>148</v>
      </c>
      <c r="D19" s="3">
        <v>3.083333333333333</v>
      </c>
      <c r="E19" s="3">
        <v>0</v>
      </c>
      <c r="F19" s="3">
        <v>0</v>
      </c>
      <c r="G19" s="3">
        <v>3.083333333333333</v>
      </c>
      <c r="H19" s="3">
        <v>1E+30</v>
      </c>
    </row>
    <row r="20" spans="2:8" x14ac:dyDescent="0.2">
      <c r="B20" s="3" t="s">
        <v>158</v>
      </c>
      <c r="C20" s="3" t="s">
        <v>143</v>
      </c>
      <c r="D20" s="3">
        <v>18500</v>
      </c>
      <c r="E20" s="3">
        <v>6.6666666666666661</v>
      </c>
      <c r="F20" s="3">
        <v>18500</v>
      </c>
      <c r="G20" s="3">
        <v>41500</v>
      </c>
      <c r="H20" s="3">
        <v>18500</v>
      </c>
    </row>
    <row r="21" spans="2:8" ht="15" thickBot="1" x14ac:dyDescent="0.25">
      <c r="B21" s="4" t="s">
        <v>100</v>
      </c>
      <c r="C21" s="4" t="s">
        <v>144</v>
      </c>
      <c r="D21" s="4">
        <v>0</v>
      </c>
      <c r="E21" s="4">
        <v>0</v>
      </c>
      <c r="F21" s="4">
        <v>10</v>
      </c>
      <c r="G21" s="4">
        <v>1E+30</v>
      </c>
      <c r="H21" s="4">
        <v>10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F0468-BAE4-44E5-996C-845290649DC9}">
  <dimension ref="A1:I23"/>
  <sheetViews>
    <sheetView workbookViewId="0">
      <selection activeCell="E5" sqref="E5"/>
    </sheetView>
  </sheetViews>
  <sheetFormatPr baseColWidth="10" defaultRowHeight="14.25" x14ac:dyDescent="0.2"/>
  <sheetData>
    <row r="1" spans="1:9" ht="15" x14ac:dyDescent="0.25">
      <c r="A1" s="7"/>
      <c r="B1" s="7">
        <f>SUMPRODUCT(B4:D4,B5:D5)</f>
        <v>17.5</v>
      </c>
      <c r="C1" s="7"/>
      <c r="D1" s="7"/>
      <c r="E1" s="7"/>
      <c r="F1" s="7"/>
      <c r="G1" s="7"/>
      <c r="H1" s="7"/>
      <c r="I1" s="7"/>
    </row>
    <row r="2" spans="1:9" ht="15" x14ac:dyDescent="0.25">
      <c r="A2" s="7"/>
      <c r="B2" s="7"/>
      <c r="C2" s="7"/>
      <c r="D2" s="7"/>
      <c r="E2" s="7"/>
      <c r="F2" s="7"/>
      <c r="G2" s="7"/>
      <c r="H2" s="7"/>
      <c r="I2" s="7"/>
    </row>
    <row r="3" spans="1:9" ht="15" x14ac:dyDescent="0.25">
      <c r="A3" s="7"/>
      <c r="B3" s="7" t="s">
        <v>188</v>
      </c>
      <c r="C3" s="7" t="s">
        <v>189</v>
      </c>
      <c r="D3" s="7" t="s">
        <v>190</v>
      </c>
      <c r="E3" s="7"/>
      <c r="F3" s="7"/>
      <c r="G3" s="7"/>
      <c r="H3" s="7"/>
      <c r="I3" s="7"/>
    </row>
    <row r="4" spans="1:9" ht="15" x14ac:dyDescent="0.25">
      <c r="A4" s="7"/>
      <c r="B4" s="7">
        <v>0</v>
      </c>
      <c r="C4" s="7">
        <v>2.5</v>
      </c>
      <c r="D4" s="7">
        <v>12.5</v>
      </c>
      <c r="E4" s="7"/>
      <c r="F4" s="7"/>
      <c r="G4" s="7"/>
      <c r="H4" s="7"/>
      <c r="I4" s="7"/>
    </row>
    <row r="5" spans="1:9" ht="15" x14ac:dyDescent="0.25">
      <c r="A5" s="7"/>
      <c r="B5" s="7">
        <v>5</v>
      </c>
      <c r="C5" s="7">
        <v>2</v>
      </c>
      <c r="D5" s="7">
        <v>1</v>
      </c>
      <c r="E5" s="7"/>
      <c r="F5" s="7"/>
      <c r="G5" s="7"/>
      <c r="H5" s="7"/>
      <c r="I5" s="7"/>
    </row>
    <row r="6" spans="1:9" ht="15" x14ac:dyDescent="0.25">
      <c r="A6" s="7"/>
      <c r="B6" s="7"/>
      <c r="C6" s="7"/>
      <c r="D6" s="7"/>
      <c r="E6" s="7"/>
      <c r="F6" s="7"/>
      <c r="G6" s="7"/>
      <c r="H6" s="7"/>
      <c r="I6" s="7"/>
    </row>
    <row r="7" spans="1:9" ht="15" x14ac:dyDescent="0.25">
      <c r="A7" s="7" t="s">
        <v>10</v>
      </c>
      <c r="B7" s="7"/>
      <c r="C7" s="7"/>
      <c r="D7" s="7"/>
      <c r="E7" s="7"/>
      <c r="F7" s="7"/>
      <c r="G7" s="7"/>
      <c r="H7" s="7"/>
      <c r="I7" s="7"/>
    </row>
    <row r="8" spans="1:9" ht="15" x14ac:dyDescent="0.25">
      <c r="A8" s="7"/>
      <c r="B8" s="7">
        <v>2</v>
      </c>
      <c r="C8" s="7">
        <v>3</v>
      </c>
      <c r="D8" s="7">
        <v>1</v>
      </c>
      <c r="E8" s="7">
        <f>SUMPRODUCT(B4:D4,B8:D8)</f>
        <v>20</v>
      </c>
      <c r="F8" s="7" t="s">
        <v>73</v>
      </c>
      <c r="G8" s="7">
        <v>20</v>
      </c>
      <c r="H8" s="7"/>
      <c r="I8" s="7"/>
    </row>
    <row r="9" spans="1:9" ht="15" x14ac:dyDescent="0.25">
      <c r="A9" s="7"/>
      <c r="B9" s="7">
        <v>6</v>
      </c>
      <c r="C9" s="7">
        <v>8</v>
      </c>
      <c r="D9" s="7">
        <v>5</v>
      </c>
      <c r="E9" s="7">
        <f>SUMPRODUCT(B4:D4,B9:D9)</f>
        <v>82.5</v>
      </c>
      <c r="F9" s="7" t="s">
        <v>73</v>
      </c>
      <c r="G9" s="7">
        <v>30</v>
      </c>
      <c r="H9" s="7"/>
      <c r="I9" s="7"/>
    </row>
    <row r="10" spans="1:9" ht="15" x14ac:dyDescent="0.25">
      <c r="A10" s="7"/>
      <c r="B10" s="7">
        <v>7</v>
      </c>
      <c r="C10" s="7">
        <v>1</v>
      </c>
      <c r="D10" s="7">
        <v>3</v>
      </c>
      <c r="E10" s="7">
        <f>SUMPRODUCT(B4:D4,B10:D10)</f>
        <v>40</v>
      </c>
      <c r="F10" s="7" t="s">
        <v>73</v>
      </c>
      <c r="G10" s="7">
        <v>40</v>
      </c>
      <c r="H10" s="7"/>
      <c r="I10" s="7"/>
    </row>
    <row r="11" spans="1:9" ht="15" x14ac:dyDescent="0.25">
      <c r="A11" s="7"/>
      <c r="B11" s="7">
        <v>1</v>
      </c>
      <c r="C11" s="7">
        <v>2</v>
      </c>
      <c r="D11" s="7">
        <v>4</v>
      </c>
      <c r="E11" s="7">
        <f>SUMPRODUCT(B4:D4,B11:D11)</f>
        <v>55</v>
      </c>
      <c r="F11" s="7" t="s">
        <v>73</v>
      </c>
      <c r="G11" s="7">
        <v>50</v>
      </c>
      <c r="H11" s="7"/>
      <c r="I11" s="7"/>
    </row>
    <row r="12" spans="1:9" ht="15" x14ac:dyDescent="0.25">
      <c r="A12" s="7"/>
      <c r="B12" s="7"/>
      <c r="C12" s="7"/>
      <c r="D12" s="7"/>
      <c r="E12" s="7"/>
      <c r="F12" s="7"/>
      <c r="G12" s="7"/>
      <c r="H12" s="7"/>
      <c r="I12" s="7"/>
    </row>
    <row r="13" spans="1:9" ht="15" x14ac:dyDescent="0.25">
      <c r="A13" s="7"/>
      <c r="B13" s="7"/>
      <c r="C13" s="7"/>
      <c r="D13" s="7"/>
      <c r="E13" s="7"/>
      <c r="F13" s="7"/>
      <c r="G13" s="7"/>
      <c r="H13" s="7"/>
      <c r="I13" s="7"/>
    </row>
    <row r="14" spans="1:9" ht="15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15" x14ac:dyDescent="0.25">
      <c r="A15" s="7"/>
      <c r="B15" s="7"/>
      <c r="C15" s="7"/>
      <c r="D15" s="7"/>
      <c r="E15" s="7"/>
      <c r="F15" s="7"/>
      <c r="G15" s="7"/>
      <c r="H15" s="7"/>
      <c r="I15" s="7"/>
    </row>
    <row r="16" spans="1:9" ht="15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15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15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5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15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ht="15" x14ac:dyDescent="0.25">
      <c r="A21" s="7"/>
      <c r="B21" s="7"/>
      <c r="C21" s="7"/>
      <c r="D21" s="7"/>
      <c r="E21" s="7"/>
      <c r="F21" s="7"/>
      <c r="G21" s="7"/>
      <c r="H21" s="7"/>
      <c r="I21" s="7"/>
    </row>
    <row r="22" spans="1:9" ht="15" x14ac:dyDescent="0.25">
      <c r="A22" s="7"/>
      <c r="B22" s="7"/>
      <c r="C22" s="7"/>
      <c r="D22" s="7"/>
      <c r="E22" s="7"/>
      <c r="F22" s="7"/>
      <c r="G22" s="7"/>
      <c r="H22" s="7"/>
      <c r="I22" s="7"/>
    </row>
    <row r="23" spans="1:9" ht="15" x14ac:dyDescent="0.25">
      <c r="A23" s="7"/>
      <c r="B23" s="7"/>
      <c r="C23" s="7"/>
      <c r="D23" s="7"/>
      <c r="E23" s="7"/>
      <c r="F23" s="7"/>
      <c r="G23" s="7"/>
      <c r="H23" s="7"/>
      <c r="I23" s="7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1ED8D-107D-4615-AA14-489EEDEBF86F}">
  <dimension ref="A1:I10"/>
  <sheetViews>
    <sheetView workbookViewId="0">
      <selection activeCell="B1" sqref="B1"/>
    </sheetView>
  </sheetViews>
  <sheetFormatPr baseColWidth="10" defaultRowHeight="14.25" x14ac:dyDescent="0.2"/>
  <sheetData>
    <row r="1" spans="1:9" ht="15" x14ac:dyDescent="0.25">
      <c r="A1" s="7"/>
      <c r="B1" s="7">
        <f>SUMPRODUCT(B4:E4,B5:E5)</f>
        <v>17.5</v>
      </c>
      <c r="C1" s="7"/>
      <c r="D1" s="7"/>
      <c r="E1" s="7"/>
      <c r="F1" s="7"/>
      <c r="G1" s="7"/>
      <c r="H1" s="7"/>
      <c r="I1" s="7"/>
    </row>
    <row r="2" spans="1:9" ht="15" x14ac:dyDescent="0.25">
      <c r="A2" s="7"/>
      <c r="B2" s="7"/>
      <c r="C2" s="7"/>
      <c r="D2" s="7"/>
      <c r="E2" s="7"/>
      <c r="F2" s="7"/>
      <c r="G2" s="7"/>
      <c r="H2" s="7"/>
      <c r="I2" s="7"/>
    </row>
    <row r="3" spans="1:9" ht="15" x14ac:dyDescent="0.25">
      <c r="A3" s="7"/>
      <c r="B3" s="7" t="s">
        <v>191</v>
      </c>
      <c r="C3" s="7" t="s">
        <v>192</v>
      </c>
      <c r="D3" s="7" t="s">
        <v>193</v>
      </c>
      <c r="E3" s="7" t="s">
        <v>194</v>
      </c>
      <c r="F3" s="7"/>
      <c r="G3" s="7"/>
      <c r="H3" s="7"/>
      <c r="I3" s="7"/>
    </row>
    <row r="4" spans="1:9" ht="15" x14ac:dyDescent="0.25">
      <c r="A4" s="7"/>
      <c r="B4" s="7">
        <v>0.62500000000000011</v>
      </c>
      <c r="C4" s="7">
        <v>0</v>
      </c>
      <c r="D4" s="7">
        <v>0.12499999999999997</v>
      </c>
      <c r="E4" s="7">
        <v>0</v>
      </c>
      <c r="F4" s="7"/>
      <c r="G4" s="7"/>
      <c r="H4" s="7"/>
      <c r="I4" s="7"/>
    </row>
    <row r="5" spans="1:9" ht="15" x14ac:dyDescent="0.25">
      <c r="A5" s="7"/>
      <c r="B5" s="7">
        <v>20</v>
      </c>
      <c r="C5" s="7">
        <v>30</v>
      </c>
      <c r="D5" s="7">
        <v>40</v>
      </c>
      <c r="E5" s="7">
        <v>50</v>
      </c>
      <c r="F5" s="7"/>
      <c r="G5" s="7"/>
      <c r="H5" s="7"/>
      <c r="I5" s="7"/>
    </row>
    <row r="6" spans="1:9" ht="15" x14ac:dyDescent="0.25">
      <c r="A6" s="7"/>
      <c r="B6" s="7"/>
      <c r="C6" s="7"/>
      <c r="D6" s="7"/>
      <c r="E6" s="7"/>
      <c r="F6" s="7"/>
      <c r="G6" s="7"/>
      <c r="H6" s="7"/>
      <c r="I6" s="7"/>
    </row>
    <row r="7" spans="1:9" ht="15" x14ac:dyDescent="0.25">
      <c r="A7" s="7" t="s">
        <v>10</v>
      </c>
      <c r="B7" s="7"/>
      <c r="C7" s="7"/>
      <c r="D7" s="7"/>
      <c r="E7" s="7"/>
      <c r="F7" s="7"/>
      <c r="G7" s="7"/>
      <c r="H7" s="7"/>
      <c r="I7" s="7"/>
    </row>
    <row r="8" spans="1:9" ht="15" x14ac:dyDescent="0.25">
      <c r="A8" s="7"/>
      <c r="B8" s="7">
        <v>2</v>
      </c>
      <c r="C8" s="7">
        <v>6</v>
      </c>
      <c r="D8" s="7">
        <v>7</v>
      </c>
      <c r="E8" s="7">
        <v>1</v>
      </c>
      <c r="F8" s="7">
        <f>SUMPRODUCT(B4:E4,B8:E8)</f>
        <v>2.125</v>
      </c>
      <c r="G8" s="7" t="s">
        <v>30</v>
      </c>
      <c r="H8" s="7">
        <v>5</v>
      </c>
      <c r="I8" s="7"/>
    </row>
    <row r="9" spans="1:9" ht="15" x14ac:dyDescent="0.25">
      <c r="A9" s="7"/>
      <c r="B9" s="7">
        <v>3</v>
      </c>
      <c r="C9" s="7">
        <v>8</v>
      </c>
      <c r="D9" s="7">
        <v>1</v>
      </c>
      <c r="E9" s="7">
        <v>2</v>
      </c>
      <c r="F9" s="7">
        <f>SUMPRODUCT(B4:E4,B9:E9)</f>
        <v>2.0000000000000004</v>
      </c>
      <c r="G9" s="7" t="s">
        <v>30</v>
      </c>
      <c r="H9" s="7">
        <v>2</v>
      </c>
      <c r="I9" s="7"/>
    </row>
    <row r="10" spans="1:9" ht="15" x14ac:dyDescent="0.25">
      <c r="A10" s="7"/>
      <c r="B10" s="7">
        <v>1</v>
      </c>
      <c r="C10" s="7">
        <v>5</v>
      </c>
      <c r="D10" s="7">
        <v>3</v>
      </c>
      <c r="E10" s="7">
        <v>4</v>
      </c>
      <c r="F10" s="7">
        <f>SUMPRODUCT(B4:E4,B10:E10)</f>
        <v>1</v>
      </c>
      <c r="G10" s="7" t="s">
        <v>30</v>
      </c>
      <c r="H10" s="7">
        <v>1</v>
      </c>
      <c r="I10" s="7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9224E-75C4-4150-A920-C3CCE627AEB4}">
  <dimension ref="A1:I10"/>
  <sheetViews>
    <sheetView workbookViewId="0">
      <selection activeCell="B1" sqref="B1"/>
    </sheetView>
  </sheetViews>
  <sheetFormatPr baseColWidth="10" defaultRowHeight="14.25" x14ac:dyDescent="0.2"/>
  <sheetData>
    <row r="1" spans="1:9" ht="15" x14ac:dyDescent="0.25">
      <c r="A1" s="7"/>
      <c r="B1" s="7">
        <f>SUMPRODUCT(B4:F4,B5:F5)</f>
        <v>2.5</v>
      </c>
      <c r="C1" s="7"/>
      <c r="D1" s="7"/>
      <c r="E1" s="7"/>
      <c r="F1" s="7"/>
      <c r="G1" s="7"/>
      <c r="H1" s="7"/>
      <c r="I1" s="7"/>
    </row>
    <row r="2" spans="1:9" ht="15" x14ac:dyDescent="0.25">
      <c r="A2" s="7"/>
      <c r="B2" s="7"/>
      <c r="C2" s="7"/>
      <c r="D2" s="7"/>
      <c r="E2" s="7"/>
      <c r="F2" s="7"/>
      <c r="G2" s="7"/>
      <c r="H2" s="7"/>
      <c r="I2" s="7"/>
    </row>
    <row r="3" spans="1:9" ht="15" x14ac:dyDescent="0.25">
      <c r="A3" s="7"/>
      <c r="B3" s="7" t="s">
        <v>188</v>
      </c>
      <c r="C3" s="7" t="s">
        <v>189</v>
      </c>
      <c r="D3" s="7" t="s">
        <v>190</v>
      </c>
      <c r="E3" s="7" t="s">
        <v>195</v>
      </c>
      <c r="F3" s="7" t="s">
        <v>196</v>
      </c>
      <c r="G3" s="7"/>
      <c r="H3" s="7"/>
      <c r="I3" s="7"/>
    </row>
    <row r="4" spans="1:9" ht="15" x14ac:dyDescent="0.25">
      <c r="A4" s="7"/>
      <c r="B4" s="7">
        <v>0</v>
      </c>
      <c r="C4" s="7">
        <v>1.25</v>
      </c>
      <c r="D4" s="7">
        <v>0</v>
      </c>
      <c r="E4" s="7">
        <v>0</v>
      </c>
      <c r="F4" s="7">
        <v>0</v>
      </c>
      <c r="G4" s="7"/>
      <c r="H4" s="7"/>
      <c r="I4" s="7"/>
    </row>
    <row r="5" spans="1:9" ht="15" x14ac:dyDescent="0.25">
      <c r="A5" s="7"/>
      <c r="B5" s="7">
        <v>3</v>
      </c>
      <c r="C5" s="7">
        <v>2</v>
      </c>
      <c r="D5" s="7">
        <v>1</v>
      </c>
      <c r="E5" s="7">
        <v>2</v>
      </c>
      <c r="F5" s="7">
        <v>3</v>
      </c>
      <c r="G5" s="7"/>
      <c r="H5" s="7"/>
      <c r="I5" s="7"/>
    </row>
    <row r="6" spans="1:9" ht="15" x14ac:dyDescent="0.25">
      <c r="A6" s="7"/>
      <c r="B6" s="7"/>
      <c r="C6" s="7"/>
      <c r="D6" s="7"/>
      <c r="E6" s="7"/>
      <c r="F6" s="7"/>
      <c r="G6" s="7"/>
      <c r="H6" s="7"/>
      <c r="I6" s="7"/>
    </row>
    <row r="7" spans="1:9" ht="15" x14ac:dyDescent="0.25">
      <c r="A7" s="7" t="s">
        <v>10</v>
      </c>
      <c r="B7" s="7"/>
      <c r="C7" s="7"/>
      <c r="D7" s="7"/>
      <c r="E7" s="7"/>
      <c r="F7" s="7"/>
      <c r="G7" s="7"/>
      <c r="H7" s="7"/>
      <c r="I7" s="7"/>
    </row>
    <row r="8" spans="1:9" ht="15" x14ac:dyDescent="0.25">
      <c r="A8" s="7"/>
      <c r="B8" s="7">
        <v>2</v>
      </c>
      <c r="C8" s="7">
        <v>5</v>
      </c>
      <c r="D8" s="7"/>
      <c r="E8" s="7">
        <v>1</v>
      </c>
      <c r="F8" s="7">
        <v>1</v>
      </c>
      <c r="G8" s="7">
        <f>SUMPRODUCT(B4:F4,B8:F8)</f>
        <v>6.25</v>
      </c>
      <c r="H8" s="7" t="s">
        <v>73</v>
      </c>
      <c r="I8" s="7">
        <v>6</v>
      </c>
    </row>
    <row r="9" spans="1:9" ht="15" x14ac:dyDescent="0.25">
      <c r="A9" s="7"/>
      <c r="B9" s="7"/>
      <c r="C9" s="7">
        <v>4</v>
      </c>
      <c r="D9" s="7">
        <v>-2</v>
      </c>
      <c r="E9" s="7">
        <v>2</v>
      </c>
      <c r="F9" s="7">
        <v>3</v>
      </c>
      <c r="G9" s="7">
        <f>SUMPRODUCT(B9:F9,B4:F4)</f>
        <v>5</v>
      </c>
      <c r="H9" s="7" t="s">
        <v>73</v>
      </c>
      <c r="I9" s="7">
        <v>5</v>
      </c>
    </row>
    <row r="10" spans="1:9" ht="15" x14ac:dyDescent="0.25">
      <c r="A10" s="7"/>
      <c r="B10" s="7">
        <v>1</v>
      </c>
      <c r="C10" s="7">
        <v>-5</v>
      </c>
      <c r="D10" s="7">
        <v>-3</v>
      </c>
      <c r="E10" s="7">
        <v>7</v>
      </c>
      <c r="F10" s="7">
        <v>5</v>
      </c>
      <c r="G10" s="7">
        <f>SUMPRODUCT(B10:F10,B4:F4)</f>
        <v>-6.25</v>
      </c>
      <c r="H10" s="7" t="s">
        <v>30</v>
      </c>
      <c r="I10" s="7">
        <v>7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A560A-DDFC-4334-B610-D3D25AE74407}">
  <dimension ref="A1:G12"/>
  <sheetViews>
    <sheetView workbookViewId="0">
      <selection activeCell="G20" sqref="G20"/>
    </sheetView>
  </sheetViews>
  <sheetFormatPr baseColWidth="10" defaultRowHeight="14.25" x14ac:dyDescent="0.2"/>
  <sheetData>
    <row r="1" spans="1:7" ht="15" x14ac:dyDescent="0.25">
      <c r="A1" s="7"/>
      <c r="B1" s="7">
        <f>SUMPRODUCT(B4:D4,B5:D5)</f>
        <v>2.5</v>
      </c>
      <c r="C1" s="7"/>
      <c r="D1" s="7"/>
      <c r="E1" s="7"/>
      <c r="F1" s="7"/>
      <c r="G1" s="7"/>
    </row>
    <row r="2" spans="1:7" ht="15" x14ac:dyDescent="0.25">
      <c r="A2" s="7"/>
      <c r="B2" s="7"/>
      <c r="C2" s="7"/>
      <c r="D2" s="7"/>
      <c r="E2" s="7"/>
      <c r="F2" s="7"/>
      <c r="G2" s="7"/>
    </row>
    <row r="3" spans="1:7" ht="15" x14ac:dyDescent="0.25">
      <c r="A3" s="7"/>
      <c r="B3" s="7" t="s">
        <v>191</v>
      </c>
      <c r="C3" s="7" t="s">
        <v>192</v>
      </c>
      <c r="D3" s="7" t="s">
        <v>193</v>
      </c>
      <c r="E3" s="7"/>
      <c r="F3" s="7"/>
      <c r="G3" s="7"/>
    </row>
    <row r="4" spans="1:7" ht="15" x14ac:dyDescent="0.25">
      <c r="A4" s="7"/>
      <c r="B4" s="7">
        <v>0</v>
      </c>
      <c r="C4" s="7">
        <v>0.5</v>
      </c>
      <c r="D4" s="7">
        <v>0</v>
      </c>
      <c r="E4" s="7"/>
      <c r="F4" s="7"/>
      <c r="G4" s="7"/>
    </row>
    <row r="5" spans="1:7" ht="15" x14ac:dyDescent="0.25">
      <c r="A5" s="7"/>
      <c r="B5" s="7">
        <v>6</v>
      </c>
      <c r="C5" s="7">
        <v>5</v>
      </c>
      <c r="D5" s="7">
        <v>-7</v>
      </c>
      <c r="E5" s="7"/>
      <c r="F5" s="7"/>
      <c r="G5" s="7"/>
    </row>
    <row r="6" spans="1:7" ht="15" x14ac:dyDescent="0.25">
      <c r="A6" s="7"/>
      <c r="B6" s="7"/>
      <c r="C6" s="7"/>
      <c r="D6" s="7"/>
      <c r="E6" s="7"/>
      <c r="F6" s="7"/>
      <c r="G6" s="7"/>
    </row>
    <row r="7" spans="1:7" ht="15" x14ac:dyDescent="0.25">
      <c r="A7" s="7" t="s">
        <v>10</v>
      </c>
      <c r="B7" s="7"/>
      <c r="C7" s="7"/>
      <c r="D7" s="7"/>
      <c r="E7" s="7"/>
      <c r="F7" s="7"/>
      <c r="G7" s="7"/>
    </row>
    <row r="8" spans="1:7" ht="15" x14ac:dyDescent="0.25">
      <c r="A8" s="7"/>
      <c r="B8" s="7">
        <v>2</v>
      </c>
      <c r="C8" s="7"/>
      <c r="D8" s="7">
        <v>-1</v>
      </c>
      <c r="E8" s="7">
        <f>SUMPRODUCT(B4:D4,B8:D8)</f>
        <v>0</v>
      </c>
      <c r="F8" s="7" t="s">
        <v>30</v>
      </c>
      <c r="G8" s="7">
        <v>3</v>
      </c>
    </row>
    <row r="9" spans="1:7" ht="15" x14ac:dyDescent="0.25">
      <c r="A9" s="7"/>
      <c r="B9" s="7">
        <v>5</v>
      </c>
      <c r="C9" s="7">
        <v>4</v>
      </c>
      <c r="D9" s="7">
        <v>6</v>
      </c>
      <c r="E9" s="7">
        <f>SUMPRODUCT(B4:D4,B9:D9)</f>
        <v>2</v>
      </c>
      <c r="F9" s="7" t="s">
        <v>30</v>
      </c>
      <c r="G9" s="7">
        <v>2</v>
      </c>
    </row>
    <row r="10" spans="1:7" ht="15" x14ac:dyDescent="0.25">
      <c r="A10" s="7"/>
      <c r="B10" s="7">
        <v>-2</v>
      </c>
      <c r="C10" s="7">
        <v>-3</v>
      </c>
      <c r="D10" s="7"/>
      <c r="E10" s="7">
        <f>SUMPRODUCT(B4:D4,B10:D10)</f>
        <v>-1.5</v>
      </c>
      <c r="F10" s="7" t="s">
        <v>30</v>
      </c>
      <c r="G10" s="7">
        <v>1</v>
      </c>
    </row>
    <row r="11" spans="1:7" ht="15" x14ac:dyDescent="0.25">
      <c r="A11" s="7"/>
      <c r="B11" s="7">
        <v>1</v>
      </c>
      <c r="C11" s="7">
        <v>2</v>
      </c>
      <c r="D11" s="7">
        <v>-7</v>
      </c>
      <c r="E11" s="7">
        <f>SUMPRODUCT(B4:D4,B11:D11)</f>
        <v>1</v>
      </c>
      <c r="F11" s="7" t="s">
        <v>30</v>
      </c>
      <c r="G11" s="7">
        <v>2</v>
      </c>
    </row>
    <row r="12" spans="1:7" ht="15" x14ac:dyDescent="0.25">
      <c r="A12" s="7"/>
      <c r="B12" s="7">
        <v>1</v>
      </c>
      <c r="C12" s="7">
        <v>3</v>
      </c>
      <c r="D12" s="7">
        <v>-5</v>
      </c>
      <c r="E12" s="7">
        <f>SUMPRODUCT(B4:D4,B12:D12)</f>
        <v>1.5</v>
      </c>
      <c r="F12" s="7" t="s">
        <v>30</v>
      </c>
      <c r="G12" s="7">
        <v>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1AE5B-9B4C-4E22-84EA-0C62D888AE05}">
  <dimension ref="B2:G11"/>
  <sheetViews>
    <sheetView tabSelected="1" workbookViewId="0">
      <selection activeCell="G13" sqref="G13"/>
    </sheetView>
  </sheetViews>
  <sheetFormatPr baseColWidth="10" defaultRowHeight="14.25" x14ac:dyDescent="0.2"/>
  <sheetData>
    <row r="2" spans="2:7" x14ac:dyDescent="0.2">
      <c r="B2" t="s">
        <v>285</v>
      </c>
      <c r="C2" t="s">
        <v>286</v>
      </c>
      <c r="D2" t="s">
        <v>287</v>
      </c>
    </row>
    <row r="4" spans="2:7" x14ac:dyDescent="0.2">
      <c r="B4">
        <v>150</v>
      </c>
      <c r="C4">
        <v>200</v>
      </c>
      <c r="D4">
        <v>-10</v>
      </c>
    </row>
    <row r="7" spans="2:7" x14ac:dyDescent="0.2">
      <c r="B7">
        <v>1</v>
      </c>
      <c r="C7">
        <v>1</v>
      </c>
      <c r="F7" t="s">
        <v>288</v>
      </c>
      <c r="G7">
        <v>45</v>
      </c>
    </row>
    <row r="8" spans="2:7" x14ac:dyDescent="0.2">
      <c r="B8">
        <v>6</v>
      </c>
      <c r="C8">
        <v>10</v>
      </c>
      <c r="D8">
        <v>-1</v>
      </c>
      <c r="F8" t="s">
        <v>288</v>
      </c>
      <c r="G8">
        <v>0</v>
      </c>
    </row>
    <row r="9" spans="2:7" x14ac:dyDescent="0.2">
      <c r="D9">
        <v>1</v>
      </c>
      <c r="F9" t="s">
        <v>288</v>
      </c>
      <c r="G9">
        <v>350</v>
      </c>
    </row>
    <row r="10" spans="2:7" x14ac:dyDescent="0.2">
      <c r="B10">
        <v>5</v>
      </c>
      <c r="F10" t="s">
        <v>288</v>
      </c>
      <c r="G10">
        <v>140</v>
      </c>
    </row>
    <row r="11" spans="2:7" x14ac:dyDescent="0.2">
      <c r="C11">
        <v>4</v>
      </c>
      <c r="F11" t="s">
        <v>288</v>
      </c>
      <c r="G11">
        <v>120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E2C01-65FB-4999-9D74-801357ABBFE6}">
  <dimension ref="A1"/>
  <sheetViews>
    <sheetView workbookViewId="0"/>
  </sheetViews>
  <sheetFormatPr baseColWidth="10"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38</vt:i4>
      </vt:variant>
      <vt:variant>
        <vt:lpstr>Rangos con nombre</vt:lpstr>
      </vt:variant>
      <vt:variant>
        <vt:i4>25</vt:i4>
      </vt:variant>
    </vt:vector>
  </HeadingPairs>
  <TitlesOfParts>
    <vt:vector size="63" baseType="lpstr">
      <vt:lpstr>1</vt:lpstr>
      <vt:lpstr>Informe de límites 1</vt:lpstr>
      <vt:lpstr>Informe de respuestas 1</vt:lpstr>
      <vt:lpstr>Informe de sensibilidad 1</vt:lpstr>
      <vt:lpstr>2</vt:lpstr>
      <vt:lpstr>Informe de límites 2</vt:lpstr>
      <vt:lpstr>Informe de respuestas 2</vt:lpstr>
      <vt:lpstr>Informe de sensibilidad 2</vt:lpstr>
      <vt:lpstr>3</vt:lpstr>
      <vt:lpstr>Informe de límites 3</vt:lpstr>
      <vt:lpstr>Informe de respuestas 3</vt:lpstr>
      <vt:lpstr>Informe de sensibilidad 3</vt:lpstr>
      <vt:lpstr>4</vt:lpstr>
      <vt:lpstr>Informe de límites 4</vt:lpstr>
      <vt:lpstr>Informe de respuestas 4</vt:lpstr>
      <vt:lpstr>Informe de sensibilidad 4</vt:lpstr>
      <vt:lpstr>5</vt:lpstr>
      <vt:lpstr>Informe de respuestas 5</vt:lpstr>
      <vt:lpstr>Informe de límites 5</vt:lpstr>
      <vt:lpstr>Informe de sensibilidad 5</vt:lpstr>
      <vt:lpstr>6</vt:lpstr>
      <vt:lpstr>Informe de límites 6</vt:lpstr>
      <vt:lpstr>Informe de respuestas 6</vt:lpstr>
      <vt:lpstr>Informe de sensibilidad 6</vt:lpstr>
      <vt:lpstr>7</vt:lpstr>
      <vt:lpstr>Informe de límites 7</vt:lpstr>
      <vt:lpstr>Informe de respuestas 7</vt:lpstr>
      <vt:lpstr>Informe de sensibilidad 7</vt:lpstr>
      <vt:lpstr>8</vt:lpstr>
      <vt:lpstr>Informe de límites 8</vt:lpstr>
      <vt:lpstr>Informe de respuestas 8</vt:lpstr>
      <vt:lpstr>Informe de sensibilidad 8</vt:lpstr>
      <vt:lpstr>Primal 1</vt:lpstr>
      <vt:lpstr>Dual 1</vt:lpstr>
      <vt:lpstr>Primal 2</vt:lpstr>
      <vt:lpstr>Dual 2</vt:lpstr>
      <vt:lpstr>Hoja2</vt:lpstr>
      <vt:lpstr>Hoja3</vt:lpstr>
      <vt:lpstr>'2'!solver_adj_1</vt:lpstr>
      <vt:lpstr>'3'!solver_adj_2</vt:lpstr>
      <vt:lpstr>'4'!solver_adj_3</vt:lpstr>
      <vt:lpstr>'2'!solver_lhs1_1</vt:lpstr>
      <vt:lpstr>'3'!solver_lhs1_2</vt:lpstr>
      <vt:lpstr>'4'!solver_lhs1_3</vt:lpstr>
      <vt:lpstr>'2'!solver_lhs2_1</vt:lpstr>
      <vt:lpstr>'3'!solver_lhs2_2</vt:lpstr>
      <vt:lpstr>'4'!solver_lhs2_3</vt:lpstr>
      <vt:lpstr>'3'!solver_lhs3_1</vt:lpstr>
      <vt:lpstr>'4'!solver_lhs3_2</vt:lpstr>
      <vt:lpstr>'4'!solver_lhs7</vt:lpstr>
      <vt:lpstr>'2'!solver_opt_1</vt:lpstr>
      <vt:lpstr>'3'!solver_opt_2</vt:lpstr>
      <vt:lpstr>'4'!solver_opt_3</vt:lpstr>
      <vt:lpstr>'2'!solver_rhs1_1</vt:lpstr>
      <vt:lpstr>'3'!solver_rhs1_2</vt:lpstr>
      <vt:lpstr>'4'!solver_rhs1_3</vt:lpstr>
      <vt:lpstr>'2'!solver_rhs2_1</vt:lpstr>
      <vt:lpstr>'3'!solver_rhs2_2</vt:lpstr>
      <vt:lpstr>'4'!solver_rhs2_3</vt:lpstr>
      <vt:lpstr>'3'!solver_rhs3_1</vt:lpstr>
      <vt:lpstr>'4'!solver_rhs3_2</vt:lpstr>
      <vt:lpstr>'4'!solver_rhs7</vt:lpstr>
      <vt:lpstr>suma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Sagues</dc:creator>
  <cp:lastModifiedBy>Julian Sagues</cp:lastModifiedBy>
  <cp:revision>1</cp:revision>
  <dcterms:created xsi:type="dcterms:W3CDTF">2026-04-08T20:15:37Z</dcterms:created>
  <dcterms:modified xsi:type="dcterms:W3CDTF">2026-04-23T14:01:08Z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F25D8B3AA2E04698BA5F181A9C30C737_12</vt:lpwstr>
  </property>
  <property fmtid="{D5CDD505-2E9C-101B-9397-08002B2CF9AE}" pid="3" name="KSOProductBuildVer">
    <vt:lpwstr>2058-12.1.0.25830</vt:lpwstr>
  </property>
  <property fmtid="{D5CDD505-2E9C-101B-9397-08002B2CF9AE}" pid="4" name="CalculationRule">
    <vt:r8>0</vt:r8>
  </property>
</Properties>
</file>