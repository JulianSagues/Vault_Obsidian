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Hoja1" sheetId="1" state="visible" r:id="rId1"/>
    <sheet name="Hoja2" sheetId="2" state="visible" r:id="rId2"/>
    <sheet name="Hoja3" sheetId="3" state="visible" r:id="rId3"/>
    <sheet name="Hoja4" sheetId="4" state="visible" r:id="rId4"/>
    <sheet name="Hoja5" sheetId="5" state="visible" r:id="rId5"/>
    <sheet name="Hoja6" sheetId="6" state="visible" r:id="rId6"/>
    <sheet name="Hoja7" sheetId="7" state="visible" r:id="rId7"/>
    <sheet name="Hoja8" sheetId="8" state="visible" r:id="rId8"/>
  </sheets>
  <definedNames>
    <definedName name="solver_adj" localSheetId="0" hidden="1">Hoja1!$B$5:$C$5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Hoja1!$D$9</definedName>
    <definedName name="solver_lhs2" localSheetId="0" hidden="1">Hoja1!$D$10</definedName>
    <definedName name="solver_neg" localSheetId="0" hidden="1">1</definedName>
    <definedName name="solver_num" localSheetId="0" hidden="1">2</definedName>
    <definedName name="solver_nwt" localSheetId="0" hidden="1">1</definedName>
    <definedName name="solver_opt" localSheetId="0" hidden="1">Hoja1!$B$2</definedName>
    <definedName name="solver_pre" localSheetId="0" hidden="1">0</definedName>
    <definedName name="solver_rel1" localSheetId="0" hidden="1">1</definedName>
    <definedName name="solver_rel2" localSheetId="0" hidden="1">2</definedName>
    <definedName name="solver_rhs1" localSheetId="0" hidden="1">Hoja1!$F$9</definedName>
    <definedName name="solver_rhs2" localSheetId="0" hidden="1">Hoja1!$F$10</definedName>
    <definedName name="solver_scl" localSheetId="0" hidden="1">2</definedName>
    <definedName name="solver_tim" localSheetId="0" hidden="1">2147483647</definedName>
    <definedName name="solver_typ" localSheetId="0" hidden="1">2</definedName>
    <definedName name="solver_val" localSheetId="0" hidden="1">0</definedName>
    <definedName name="solver_ver" localSheetId="0" hidden="1">3</definedName>
    <definedName name="solver_adj" localSheetId="1" hidden="1">Hoja2!$B$5:$C$5</definedName>
    <definedName name="solver_eng" localSheetId="1" hidden="1">2</definedName>
    <definedName name="solver_est" localSheetId="1" hidden="1">1</definedName>
    <definedName name="solver_itr" localSheetId="1" hidden="1">2147483647</definedName>
    <definedName name="solver_lhs1" localSheetId="1" hidden="1">Hoja2!$D$9</definedName>
    <definedName name="solver_lhs2" localSheetId="1" hidden="1">Hoja2!$D$10</definedName>
    <definedName name="solver_lhs3" localSheetId="1" hidden="1">Hoja2!$D$11</definedName>
    <definedName name="solver_neg" localSheetId="1" hidden="1">1</definedName>
    <definedName name="solver_num" localSheetId="1" hidden="1">3</definedName>
    <definedName name="solver_nwt" localSheetId="1" hidden="1">1</definedName>
    <definedName name="solver_opt" localSheetId="1" hidden="1">Hoja2!$B$2</definedName>
    <definedName name="solver_pre" localSheetId="1" hidden="1">0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hs1" localSheetId="1" hidden="1">Hoja2!$F$9</definedName>
    <definedName name="solver_rhs2" localSheetId="1" hidden="1">Hoja2!$F$10</definedName>
    <definedName name="solver_rhs3" localSheetId="1" hidden="1">Hoja2!$F$11</definedName>
    <definedName name="solver_scl" localSheetId="1" hidden="1">2</definedName>
    <definedName name="solver_tim" localSheetId="1" hidden="1">2147483647</definedName>
    <definedName name="solver_typ" localSheetId="1" hidden="1">1</definedName>
    <definedName name="solver_val" localSheetId="1" hidden="1">0</definedName>
    <definedName name="solver_ver" localSheetId="1" hidden="1">3</definedName>
    <definedName name="solver_adj" localSheetId="2" hidden="1">Hoja3!$B$3:$G$3</definedName>
    <definedName name="solver_eng" localSheetId="2" hidden="1">2</definedName>
    <definedName name="solver_est" localSheetId="2" hidden="1">1</definedName>
    <definedName name="solver_itr" localSheetId="2" hidden="1">2147483647</definedName>
    <definedName name="solver_lhs1" localSheetId="2" hidden="1">Hoja3!$H$6</definedName>
    <definedName name="solver_lhs2" localSheetId="2" hidden="1">Hoja3!$H$7</definedName>
    <definedName name="solver_lhs3" localSheetId="2" hidden="1">Hoja3!$H$8</definedName>
    <definedName name="solver_neg" localSheetId="2" hidden="1">1</definedName>
    <definedName name="solver_num" localSheetId="2" hidden="1">3</definedName>
    <definedName name="solver_nwt" localSheetId="2" hidden="1">1</definedName>
    <definedName name="solver_opt" localSheetId="2" hidden="1">Hoja3!$B$1</definedName>
    <definedName name="solver_pre" localSheetId="2" hidden="1">0</definedName>
    <definedName name="solver_rel1" localSheetId="2" hidden="1">3</definedName>
    <definedName name="solver_rel2" localSheetId="2" hidden="1">3</definedName>
    <definedName name="solver_rel3" localSheetId="2" hidden="1">3</definedName>
    <definedName name="solver_rhs1" localSheetId="2" hidden="1">Hoja3!$J$6</definedName>
    <definedName name="solver_rhs2" localSheetId="2" hidden="1">Hoja3!$J$7</definedName>
    <definedName name="solver_rhs3" localSheetId="2" hidden="1">Hoja3!$J$8</definedName>
    <definedName name="solver_scl" localSheetId="2" hidden="1">2</definedName>
    <definedName name="solver_tim" localSheetId="2" hidden="1">2147483647</definedName>
    <definedName name="solver_typ" localSheetId="2" hidden="1">2</definedName>
    <definedName name="solver_val" localSheetId="2" hidden="1">0</definedName>
    <definedName name="solver_ver" localSheetId="2" hidden="1">3</definedName>
    <definedName name="solver_adj" localSheetId="3" hidden="1">Hoja4!$B$3:$E$3</definedName>
    <definedName name="solver_eng" localSheetId="3" hidden="1">2</definedName>
    <definedName name="solver_est" localSheetId="3" hidden="1">1</definedName>
    <definedName name="solver_itr" localSheetId="3" hidden="1">2147483647</definedName>
    <definedName name="solver_lhs1" localSheetId="3" hidden="1">Hoja4!$F$6</definedName>
    <definedName name="solver_lhs2" localSheetId="3" hidden="1">Hoja4!$F$7</definedName>
    <definedName name="solver_lhs3" localSheetId="3" hidden="1">Hoja4!$F$8</definedName>
    <definedName name="solver_lhs4" localSheetId="3" hidden="1">Hoja4!$F$9</definedName>
    <definedName name="solver_lhs5" localSheetId="3" hidden="1">Hoja4!$F$10</definedName>
    <definedName name="solver_lhs6" localSheetId="3" hidden="1">Hoja4!$F$11</definedName>
    <definedName name="solver_neg" localSheetId="3" hidden="1">1</definedName>
    <definedName name="solver_num" localSheetId="3" hidden="1">6</definedName>
    <definedName name="solver_nwt" localSheetId="3" hidden="1">1</definedName>
    <definedName name="solver_opt" localSheetId="3" hidden="1">Hoja4!$B$1</definedName>
    <definedName name="solver_pre" localSheetId="3" hidden="1">0</definedName>
    <definedName name="solver_rel1" localSheetId="3" hidden="1">1</definedName>
    <definedName name="solver_rel2" localSheetId="3" hidden="1">1</definedName>
    <definedName name="solver_rel3" localSheetId="3" hidden="1">1</definedName>
    <definedName name="solver_rel4" localSheetId="3" hidden="1">1</definedName>
    <definedName name="solver_rel5" localSheetId="3" hidden="1">3</definedName>
    <definedName name="solver_rel6" localSheetId="3" hidden="1">3</definedName>
    <definedName name="solver_rhs1" localSheetId="3" hidden="1">Hoja4!$H$6</definedName>
    <definedName name="solver_rhs2" localSheetId="3" hidden="1">Hoja4!$H$7</definedName>
    <definedName name="solver_rhs3" localSheetId="3" hidden="1">Hoja4!$H$8</definedName>
    <definedName name="solver_rhs4" localSheetId="3" hidden="1">Hoja4!$H$9</definedName>
    <definedName name="solver_rhs5" localSheetId="3" hidden="1">Hoja4!$H$10</definedName>
    <definedName name="solver_rhs6" localSheetId="3" hidden="1">Hoja4!$H$11</definedName>
    <definedName name="solver_scl" localSheetId="3" hidden="1">2</definedName>
    <definedName name="solver_tim" localSheetId="3" hidden="1">2147483647</definedName>
    <definedName name="solver_typ" localSheetId="3" hidden="1">1</definedName>
    <definedName name="solver_val" localSheetId="3" hidden="1">0</definedName>
    <definedName name="solver_ver" localSheetId="3" hidden="1">3</definedName>
    <definedName name="solver_adj" localSheetId="4" hidden="1">Hoja5!$B$3:$D$3</definedName>
    <definedName name="solver_eng" localSheetId="4" hidden="1">1</definedName>
    <definedName name="solver_itr" localSheetId="4" hidden="1">2147483647</definedName>
    <definedName name="solver_lhs1" localSheetId="4" hidden="1">Hoja5!$E$6</definedName>
    <definedName name="solver_lhs2" localSheetId="4" hidden="1">Hoja5!$E$7</definedName>
    <definedName name="solver_lhs3" localSheetId="4" hidden="1">Hoja5!$E$8</definedName>
    <definedName name="solver_neg" localSheetId="4" hidden="1">1</definedName>
    <definedName name="solver_num" localSheetId="4" hidden="1">3</definedName>
    <definedName name="solver_opt" localSheetId="4" hidden="1">Hoja5!$B$1</definedName>
    <definedName name="solver_rel1" localSheetId="4" hidden="1">1</definedName>
    <definedName name="solver_rel2" localSheetId="4" hidden="1">3</definedName>
    <definedName name="solver_rel3" localSheetId="4" hidden="1">3</definedName>
    <definedName name="solver_rhs1" localSheetId="4" hidden="1">Hoja5!$G$6</definedName>
    <definedName name="solver_rhs2" localSheetId="4" hidden="1">Hoja5!$G$7</definedName>
    <definedName name="solver_rhs3" localSheetId="4" hidden="1">Hoja5!$G$8</definedName>
    <definedName name="solver_tim" localSheetId="4" hidden="1">2147483647</definedName>
    <definedName name="solver_typ" localSheetId="4" hidden="1">1</definedName>
    <definedName name="solver_val" localSheetId="4" hidden="1">0</definedName>
    <definedName name="solver_ver" localSheetId="4" hidden="1">3</definedName>
    <definedName name="solver_adj" localSheetId="5" hidden="1">Hoja6!$B$3:$D$3</definedName>
    <definedName name="solver_cvg" localSheetId="5" hidden="1">0.0001</definedName>
    <definedName name="solver_drv" localSheetId="5" hidden="1">1</definedName>
    <definedName name="solver_eng" localSheetId="5" hidden="1">2</definedName>
    <definedName name="solver_est" localSheetId="5" hidden="1">1</definedName>
    <definedName name="solver_itr" localSheetId="5" hidden="1">2147483647</definedName>
    <definedName name="solver_lhs1" localSheetId="5" hidden="1">Hoja6!$E$6</definedName>
    <definedName name="solver_lhs2" localSheetId="5" hidden="1">Hoja6!$E$7</definedName>
    <definedName name="solver_lhs3" localSheetId="5" hidden="1">Hoja6!$E$8</definedName>
    <definedName name="solver_mip" localSheetId="5" hidden="1">2147483647</definedName>
    <definedName name="solver_mni" localSheetId="5" hidden="1">30</definedName>
    <definedName name="solver_mrt" localSheetId="5" hidden="1">0.075</definedName>
    <definedName name="solver_msl" localSheetId="5" hidden="1">2</definedName>
    <definedName name="solver_neg" localSheetId="5" hidden="1">1</definedName>
    <definedName name="solver_nod" localSheetId="5" hidden="1">2147483647</definedName>
    <definedName name="solver_num" localSheetId="5" hidden="1">3</definedName>
    <definedName name="solver_nwt" localSheetId="5" hidden="1">1</definedName>
    <definedName name="solver_opt" localSheetId="5" hidden="1">Hoja6!$B$1</definedName>
    <definedName name="solver_pre" localSheetId="5" hidden="1">0</definedName>
    <definedName name="solver_rbv" localSheetId="5" hidden="1">1</definedName>
    <definedName name="solver_rel1" localSheetId="5" hidden="1">1</definedName>
    <definedName name="solver_rel2" localSheetId="5" hidden="1">1</definedName>
    <definedName name="solver_rel3" localSheetId="5" hidden="1">1</definedName>
    <definedName name="solver_rhs1" localSheetId="5" hidden="1">Hoja6!$G$6</definedName>
    <definedName name="solver_rhs2" localSheetId="5" hidden="1">Hoja6!$G$7</definedName>
    <definedName name="solver_rhs3" localSheetId="5" hidden="1">Hoja6!$G$8</definedName>
    <definedName name="solver_rlx" localSheetId="5" hidden="1">2</definedName>
    <definedName name="solver_rsd" localSheetId="5" hidden="1">0</definedName>
    <definedName name="solver_scl" localSheetId="5" hidden="1">2</definedName>
    <definedName name="solver_sho" localSheetId="5" hidden="1">2</definedName>
    <definedName name="solver_ssz" localSheetId="5" hidden="1">100</definedName>
    <definedName name="solver_tim" localSheetId="5" hidden="1">2147483647</definedName>
    <definedName name="solver_tol" localSheetId="5" hidden="1">0.01</definedName>
    <definedName name="solver_typ" localSheetId="5" hidden="1">2</definedName>
    <definedName name="solver_val" localSheetId="5" hidden="1">0</definedName>
    <definedName name="solver_ver" localSheetId="5" hidden="1">3</definedName>
    <definedName name="solver_adj" localSheetId="6" hidden="1">Hoja7!$B$3:$E$3</definedName>
    <definedName name="solver_cvg" localSheetId="6" hidden="1">0.0001</definedName>
    <definedName name="solver_drv" localSheetId="6" hidden="1">1</definedName>
    <definedName name="solver_eng" localSheetId="6" hidden="1">1</definedName>
    <definedName name="solver_est" localSheetId="6" hidden="1">1</definedName>
    <definedName name="solver_itr" localSheetId="6" hidden="1">2147483647</definedName>
    <definedName name="solver_lhs1" localSheetId="6" hidden="1">Hoja7!$F$6</definedName>
    <definedName name="solver_lhs2" localSheetId="6" hidden="1">Hoja7!$F$7</definedName>
    <definedName name="solver_lhs3" localSheetId="6" hidden="1">Hoja7!$F$8</definedName>
    <definedName name="solver_lhs4" localSheetId="6" hidden="1">Hoja7!$F$9</definedName>
    <definedName name="solver_mip" localSheetId="6" hidden="1">2147483647</definedName>
    <definedName name="solver_mni" localSheetId="6" hidden="1">30</definedName>
    <definedName name="solver_mrt" localSheetId="6" hidden="1">0.075</definedName>
    <definedName name="solver_msl" localSheetId="6" hidden="1">2</definedName>
    <definedName name="solver_neg" localSheetId="6" hidden="1">1</definedName>
    <definedName name="solver_nod" localSheetId="6" hidden="1">2147483647</definedName>
    <definedName name="solver_num" localSheetId="6" hidden="1">4</definedName>
    <definedName name="solver_nwt" localSheetId="6" hidden="1">1</definedName>
    <definedName name="solver_opt" localSheetId="6" hidden="1">Hoja7!$B$1</definedName>
    <definedName name="solver_pre" localSheetId="6" hidden="1">0.000001</definedName>
    <definedName name="solver_rbv" localSheetId="6" hidden="1">1</definedName>
    <definedName name="solver_rel1" localSheetId="6" hidden="1">1</definedName>
    <definedName name="solver_rel2" localSheetId="6" hidden="1">1</definedName>
    <definedName name="solver_rel3" localSheetId="6" hidden="1">1</definedName>
    <definedName name="solver_rel4" localSheetId="6" hidden="1">1</definedName>
    <definedName name="solver_rhs1" localSheetId="6" hidden="1">Hoja7!$H$6</definedName>
    <definedName name="solver_rhs2" localSheetId="6" hidden="1">Hoja7!$H$7</definedName>
    <definedName name="solver_rhs3" localSheetId="6" hidden="1">Hoja7!$H$8</definedName>
    <definedName name="solver_rhs4" localSheetId="6" hidden="1">Hoja7!$H$9</definedName>
    <definedName name="solver_rlx" localSheetId="6" hidden="1">2</definedName>
    <definedName name="solver_rsd" localSheetId="6" hidden="1">0</definedName>
    <definedName name="solver_scl" localSheetId="6" hidden="1">1</definedName>
    <definedName name="solver_sho" localSheetId="6" hidden="1">2</definedName>
    <definedName name="solver_ssz" localSheetId="6" hidden="1">100</definedName>
    <definedName name="solver_tim" localSheetId="6" hidden="1">2147483647</definedName>
    <definedName name="solver_tol" localSheetId="6" hidden="1">0.01</definedName>
    <definedName name="solver_typ" localSheetId="6" hidden="1">1</definedName>
    <definedName name="solver_val" localSheetId="6" hidden="1">0</definedName>
    <definedName name="solver_ver" localSheetId="6" hidden="1">3</definedName>
    <definedName name="solver_adj" localSheetId="7" hidden="1">Hoja8!$B$3:$D$3</definedName>
    <definedName name="solver_cvg" localSheetId="7" hidden="1">0.0001</definedName>
    <definedName name="solver_drv" localSheetId="7" hidden="1">1</definedName>
    <definedName name="solver_eng" localSheetId="7" hidden="1">1</definedName>
    <definedName name="solver_est" localSheetId="7" hidden="1">1</definedName>
    <definedName name="solver_itr" localSheetId="7" hidden="1">2147483647</definedName>
    <definedName name="solver_lhs1" localSheetId="7" hidden="1">Hoja8!$E$10</definedName>
    <definedName name="solver_lhs2" localSheetId="7" hidden="1">Hoja8!$E$11</definedName>
    <definedName name="solver_lhs3" localSheetId="7" hidden="1">Hoja8!$E$6</definedName>
    <definedName name="solver_lhs4" localSheetId="7" hidden="1">Hoja8!$E$7</definedName>
    <definedName name="solver_lhs5" localSheetId="7" hidden="1">Hoja8!$E$8</definedName>
    <definedName name="solver_lhs6" localSheetId="7" hidden="1">Hoja8!$E$9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6</definedName>
    <definedName name="solver_nwt" localSheetId="7" hidden="1">1</definedName>
    <definedName name="solver_opt" localSheetId="7" hidden="1">Hoja8!$B$1</definedName>
    <definedName name="solver_pre" localSheetId="7" hidden="1">0.000001</definedName>
    <definedName name="solver_rbv" localSheetId="7" hidden="1">1</definedName>
    <definedName name="solver_rel1" localSheetId="7" hidden="1">1</definedName>
    <definedName name="solver_rel2" localSheetId="7" hidden="1">3</definedName>
    <definedName name="solver_rel3" localSheetId="7" hidden="1">1</definedName>
    <definedName name="solver_rel4" localSheetId="7" hidden="1">1</definedName>
    <definedName name="solver_rel5" localSheetId="7" hidden="1">1</definedName>
    <definedName name="solver_rel6" localSheetId="7" hidden="1">1</definedName>
    <definedName name="solver_rhs1" localSheetId="7" hidden="1">Hoja8!$G$10</definedName>
    <definedName name="solver_rhs2" localSheetId="7" hidden="1">Hoja8!$G$11</definedName>
    <definedName name="solver_rhs3" localSheetId="7" hidden="1">Hoja8!$G$6</definedName>
    <definedName name="solver_rhs4" localSheetId="7" hidden="1">Hoja8!$G$7</definedName>
    <definedName name="solver_rhs5" localSheetId="7" hidden="1">Hoja8!$G$8</definedName>
    <definedName name="solver_rhs6" localSheetId="7" hidden="1">Hoja8!$G$9</definedName>
    <definedName name="solver_rlx" localSheetId="7" hidden="1">2</definedName>
    <definedName name="solver_rsd" localSheetId="7" hidden="1">0</definedName>
    <definedName name="solver_scl" localSheetId="7" hidden="1">1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1</definedName>
    <definedName name="solver_val" localSheetId="7" hidden="1">0</definedName>
    <definedName name="solver_ver" localSheetId="7" hidden="1">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<sst xmlns="http://schemas.openxmlformats.org/spreadsheetml/2006/main" count="39" uniqueCount="39">
  <si>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 xml:space="preserve"> Costo</t>
  </si>
  <si>
    <t xml:space="preserve"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</si>
  <si>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</si>
  <si>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</si>
  <si>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</si>
  <si>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</si>
  <si>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</si>
  <si>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</si>
  <si>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</si>
  <si>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</si>
  <si>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</si>
  <si>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</si>
  <si>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</si>
  <si>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</si>
  <si>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</si>
  <si>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</si>
  <si>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</si>
  <si>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</si>
  <si>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</si>
  <si>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</si>
  <si>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</si>
  <si>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</si>
  <si>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</si>
  <si>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</si>
  <si>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</si>
  <si>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</si>
  <si>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</si>
  <si>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</si>
  <si>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</si>
  <si>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</si>
  <si>
    <t>Barriles</t>
  </si>
  <si>
    <t>NR</t>
  </si>
  <si>
    <t>IR</t>
  </si>
  <si>
    <t>NE</t>
  </si>
  <si>
    <t>IE</t>
  </si>
  <si>
    <t>Restrricciones</t>
  </si>
  <si>
    <t>?</t>
  </si>
  <si>
    <t>Servicios</t>
  </si>
  <si>
    <t>P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</si>
</sst>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u/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/>
    <xf fontId="0" fillId="0" borderId="0" numFmtId="0" xfId="0"/>
    <xf fontId="0" fillId="0" borderId="0" numFmtId="0" xfId="0"/>
    <xf fontId="1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10" defaultColWidth="9.140625" defaultRowHeight="15"/>
  <cols>
    <col customWidth="1" min="1" max="1" width="15"/>
  </cols>
  <sheetData>
    <row r="2">
      <c r="A2" t="s">
        <v>0</v>
      </c>
      <c r="B2">
        <f>B5*B6+C5*C6</f>
        <v>716.66666666666742</v>
      </c>
    </row>
    <row r="4">
      <c r="A4" t="s">
        <v>1</v>
      </c>
      <c r="B4" t="s">
        <v>2</v>
      </c>
      <c r="C4" t="s">
        <v>3</v>
      </c>
    </row>
    <row r="5">
      <c r="A5" t="s">
        <v>4</v>
      </c>
      <c r="B5">
        <v>0.58333333333333404</v>
      </c>
      <c r="C5">
        <v>0.41666666666666702</v>
      </c>
    </row>
    <row r="6">
      <c r="A6" t="s">
        <v>5</v>
      </c>
      <c r="B6">
        <v>800</v>
      </c>
      <c r="C6">
        <v>600</v>
      </c>
    </row>
    <row r="8">
      <c r="A8" t="s">
        <v>6</v>
      </c>
      <c r="D8" t="s">
        <v>7</v>
      </c>
    </row>
    <row r="9">
      <c r="A9" t="s">
        <v>8</v>
      </c>
      <c r="B9">
        <v>0.20000000000000001</v>
      </c>
      <c r="C9">
        <v>0.32000000000000001</v>
      </c>
      <c r="D9">
        <f>B5*B9+C5*C9</f>
        <v>0.25000000000000022</v>
      </c>
      <c r="E9" t="s">
        <v>9</v>
      </c>
      <c r="F9">
        <v>0.25</v>
      </c>
    </row>
    <row r="10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10" defaultColWidth="9.140625" defaultRowHeight="15"/>
  <cols>
    <col customWidth="1" min="1" max="1" width="12.7109375"/>
  </cols>
  <sheetData>
    <row r="2">
      <c r="A2" t="s">
        <v>11</v>
      </c>
      <c r="B2">
        <f>B5*B6+C5*C6</f>
        <v>180</v>
      </c>
    </row>
    <row r="4">
      <c r="A4" t="s">
        <v>12</v>
      </c>
      <c r="B4" t="s">
        <v>13</v>
      </c>
      <c r="C4" t="s">
        <v>14</v>
      </c>
    </row>
    <row r="5">
      <c r="B5">
        <v>20</v>
      </c>
      <c r="C5">
        <v>60</v>
      </c>
    </row>
    <row r="6">
      <c r="A6" t="s">
        <v>15</v>
      </c>
      <c r="B6">
        <v>3</v>
      </c>
      <c r="C6">
        <v>2</v>
      </c>
    </row>
    <row r="8">
      <c r="A8" t="s">
        <v>6</v>
      </c>
    </row>
    <row r="9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>
      <c r="B11">
        <v>1</v>
      </c>
      <c r="D11">
        <f>B5*B11</f>
        <v>20</v>
      </c>
      <c r="E11" t="s">
        <v>9</v>
      </c>
      <c r="F11">
        <v>40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10" defaultColWidth="9.140625" defaultRowHeight="15"/>
  <sheetData>
    <row r="1">
      <c r="A1" t="s">
        <v>16</v>
      </c>
      <c r="B1">
        <f>SUMPRODUCT(B3:G3,B4:G4)</f>
        <v>7.2727272727272751</v>
      </c>
    </row>
    <row r="2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>
      <c r="A5" t="s">
        <v>16</v>
      </c>
    </row>
    <row r="6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10" defaultColWidth="9.140625" defaultRowHeight="14.25"/>
  <sheetData>
    <row r="1">
      <c r="A1" t="s">
        <v>24</v>
      </c>
      <c r="B1">
        <f>SUMPRODUCT(B3:E3,B4:E4)</f>
        <v>1250000</v>
      </c>
    </row>
    <row r="2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>
      <c r="B3">
        <v>50</v>
      </c>
      <c r="C3">
        <v>0</v>
      </c>
      <c r="D3">
        <v>145</v>
      </c>
      <c r="E3">
        <v>9.9999999999999982</v>
      </c>
    </row>
    <row r="4">
      <c r="B4">
        <v>6000</v>
      </c>
      <c r="C4">
        <v>4000</v>
      </c>
      <c r="D4">
        <v>6000</v>
      </c>
      <c r="E4">
        <v>8000</v>
      </c>
    </row>
    <row r="5">
      <c r="A5" t="s">
        <v>6</v>
      </c>
    </row>
    <row r="6">
      <c r="B6">
        <v>3</v>
      </c>
      <c r="C6">
        <v>2</v>
      </c>
      <c r="D6">
        <v>2</v>
      </c>
      <c r="E6">
        <v>4</v>
      </c>
      <c r="F6">
        <f>SUMPRODUCT(B3:E3,B6:E6)</f>
        <v>480</v>
      </c>
      <c r="G6" t="s">
        <v>26</v>
      </c>
      <c r="H6">
        <v>480</v>
      </c>
    </row>
    <row r="7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>
      <c r="E9">
        <v>1</v>
      </c>
      <c r="F9">
        <f>E3*E9</f>
        <v>9.9999999999999982</v>
      </c>
      <c r="G9" t="s">
        <v>26</v>
      </c>
      <c r="H9">
        <v>25</v>
      </c>
    </row>
    <row r="10">
      <c r="B10">
        <v>1</v>
      </c>
      <c r="F10">
        <f>B3*B10</f>
        <v>50</v>
      </c>
      <c r="G10" t="s">
        <v>23</v>
      </c>
      <c r="H10">
        <v>50</v>
      </c>
    </row>
    <row r="11">
      <c r="B11">
        <v>1</v>
      </c>
      <c r="C11">
        <v>1</v>
      </c>
      <c r="D11">
        <v>1</v>
      </c>
      <c r="F11">
        <f>SUMPRODUCT(B3:D3,B11:D11)</f>
        <v>195</v>
      </c>
      <c r="G11" t="s">
        <v>23</v>
      </c>
      <c r="H11">
        <v>100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8" activeCellId="0" sqref="E8"/>
    </sheetView>
  </sheetViews>
  <sheetFormatPr baseColWidth="10" defaultRowHeight="15"/>
  <sheetData>
    <row r="1">
      <c r="A1" s="1" t="s">
        <v>27</v>
      </c>
      <c r="B1">
        <f>SUMPRODUCT(B3:D3,B4:D4)</f>
        <v>40000</v>
      </c>
    </row>
    <row r="2">
      <c r="A2" s="1" t="s">
        <v>25</v>
      </c>
      <c r="B2" s="1" t="s">
        <v>18</v>
      </c>
      <c r="C2" s="1" t="s">
        <v>19</v>
      </c>
      <c r="D2" s="1" t="s">
        <v>3</v>
      </c>
    </row>
    <row r="3">
      <c r="B3">
        <v>11.428571428571429</v>
      </c>
      <c r="C3">
        <v>5.7142857142857144</v>
      </c>
      <c r="D3">
        <v>5.7142857142857144</v>
      </c>
    </row>
    <row r="4">
      <c r="B4">
        <v>700</v>
      </c>
      <c r="C4">
        <v>2100</v>
      </c>
      <c r="D4">
        <v>3500</v>
      </c>
    </row>
    <row r="5">
      <c r="A5" s="1" t="s">
        <v>6</v>
      </c>
    </row>
    <row r="6">
      <c r="B6">
        <v>1</v>
      </c>
      <c r="C6">
        <v>2</v>
      </c>
      <c r="D6">
        <v>3</v>
      </c>
      <c r="E6">
        <f>SUMPRODUCT(B3:D3,B6:D6)</f>
        <v>40</v>
      </c>
      <c r="F6" s="2" t="s">
        <v>9</v>
      </c>
      <c r="G6" s="1">
        <v>40</v>
      </c>
    </row>
    <row r="7">
      <c r="B7">
        <v>1</v>
      </c>
      <c r="C7">
        <v>-2</v>
      </c>
      <c r="E7">
        <f>SUMPRODUCT(B3:C3,B7:C7)</f>
        <v>0</v>
      </c>
      <c r="F7" s="1" t="s">
        <v>23</v>
      </c>
      <c r="G7">
        <v>0</v>
      </c>
    </row>
    <row r="8">
      <c r="C8">
        <v>1</v>
      </c>
      <c r="D8">
        <v>-1</v>
      </c>
      <c r="E8">
        <f>SUMPRODUCT(C3:D3,C8:D8)</f>
        <v>0</v>
      </c>
      <c r="F8" s="1" t="s">
        <v>23</v>
      </c>
      <c r="G8"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"/>
    </sheetView>
  </sheetViews>
  <sheetFormatPr baseColWidth="10" defaultRowHeight="14.25"/>
  <sheetData>
    <row r="1">
      <c r="A1" s="1" t="s">
        <v>24</v>
      </c>
      <c r="B1">
        <f>SUMPRODUCT(B3:D3,B4:D4)</f>
        <v>0</v>
      </c>
      <c r="C1"/>
      <c r="D1"/>
      <c r="E1"/>
      <c r="F1"/>
      <c r="G1"/>
    </row>
    <row r="2">
      <c r="A2" s="1" t="s">
        <v>28</v>
      </c>
      <c r="B2" s="1" t="s">
        <v>22</v>
      </c>
      <c r="C2" s="1" t="s">
        <v>29</v>
      </c>
      <c r="D2" s="1" t="s">
        <v>3</v>
      </c>
      <c r="E2"/>
      <c r="F2"/>
      <c r="G2"/>
    </row>
    <row r="3">
      <c r="A3"/>
      <c r="B3">
        <v>0</v>
      </c>
      <c r="C3">
        <v>0</v>
      </c>
      <c r="D3">
        <v>0</v>
      </c>
      <c r="E3"/>
      <c r="F3"/>
      <c r="G3"/>
    </row>
    <row r="4">
      <c r="A4"/>
      <c r="B4">
        <v>1</v>
      </c>
      <c r="C4">
        <v>1</v>
      </c>
      <c r="D4">
        <v>1</v>
      </c>
      <c r="E4"/>
      <c r="F4"/>
      <c r="G4"/>
    </row>
    <row r="5">
      <c r="A5" s="1" t="s">
        <v>6</v>
      </c>
      <c r="B5"/>
      <c r="C5"/>
      <c r="D5"/>
      <c r="E5"/>
      <c r="F5"/>
      <c r="G5"/>
    </row>
    <row r="6">
      <c r="A6"/>
      <c r="B6">
        <v>0.20000000000000001</v>
      </c>
      <c r="C6"/>
      <c r="D6">
        <v>0.10000000000000001</v>
      </c>
      <c r="E6">
        <f>B3*B6+D3*D6</f>
        <v>0</v>
      </c>
      <c r="F6" s="2" t="s">
        <v>9</v>
      </c>
      <c r="G6">
        <v>200</v>
      </c>
    </row>
    <row r="7">
      <c r="A7"/>
      <c r="B7">
        <v>0.5</v>
      </c>
      <c r="C7">
        <v>0.5</v>
      </c>
      <c r="D7">
        <v>0.40000000000000002</v>
      </c>
      <c r="E7">
        <f>SUMPRODUCT($B$3:$D$3,B7:D7)</f>
        <v>0</v>
      </c>
      <c r="F7" s="2" t="s">
        <v>9</v>
      </c>
      <c r="G7">
        <v>800</v>
      </c>
    </row>
    <row r="8">
      <c r="A8"/>
      <c r="B8"/>
      <c r="C8">
        <v>0.20000000000000001</v>
      </c>
      <c r="D8">
        <v>0.29999999999999999</v>
      </c>
      <c r="E8">
        <f>SUMPRODUCT(C3:D3,C8:D8)</f>
        <v>0</v>
      </c>
      <c r="F8" s="2" t="s">
        <v>9</v>
      </c>
      <c r="G8">
        <v>150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"/>
    </sheetView>
  </sheetViews>
  <sheetFormatPr baseColWidth="10" defaultRowHeight="15"/>
  <sheetData>
    <row r="1">
      <c r="A1" s="1" t="s">
        <v>11</v>
      </c>
      <c r="B1">
        <f>SUMPRODUCT(B3:E3,B4:E4)</f>
        <v>33907636547.368427</v>
      </c>
    </row>
    <row r="2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</row>
    <row r="3">
      <c r="B3">
        <v>0</v>
      </c>
      <c r="C3">
        <v>0</v>
      </c>
      <c r="D3">
        <v>7064090.9473684216</v>
      </c>
      <c r="E3">
        <v>8476909.1368421055</v>
      </c>
    </row>
    <row r="4">
      <c r="B4">
        <v>4000</v>
      </c>
      <c r="C4">
        <v>-3000</v>
      </c>
      <c r="D4">
        <v>6000</v>
      </c>
      <c r="E4">
        <v>-1000</v>
      </c>
    </row>
    <row r="5">
      <c r="A5" s="1" t="s">
        <v>35</v>
      </c>
    </row>
    <row r="6">
      <c r="B6">
        <v>1</v>
      </c>
      <c r="C6">
        <v>1</v>
      </c>
      <c r="F6">
        <f>SUMPRODUCT(B3:C3,B6:C6)</f>
        <v>0</v>
      </c>
      <c r="G6" s="1" t="s">
        <v>9</v>
      </c>
      <c r="H6">
        <v>0</v>
      </c>
    </row>
    <row r="7">
      <c r="D7">
        <v>6</v>
      </c>
      <c r="E7">
        <v>-5</v>
      </c>
      <c r="F7">
        <f>SUMPRODUCT(D3:E3,D7:E7)</f>
        <v>7.4505805969238281e-09</v>
      </c>
      <c r="G7" s="1" t="s">
        <v>9</v>
      </c>
      <c r="H7">
        <v>0</v>
      </c>
    </row>
    <row r="8">
      <c r="B8">
        <v>2</v>
      </c>
      <c r="C8">
        <v>-8</v>
      </c>
      <c r="F8">
        <f>SUMPRODUCT(B3:C3,B8:C8)</f>
        <v>0</v>
      </c>
      <c r="G8" s="1" t="s">
        <v>9</v>
      </c>
      <c r="H8">
        <v>0</v>
      </c>
    </row>
    <row r="9">
      <c r="D9">
        <v>2</v>
      </c>
      <c r="E9">
        <v>-8</v>
      </c>
      <c r="F9">
        <f>SUMPRODUCT(D3:E3,D9:E9)</f>
        <v>-53687091.200000003</v>
      </c>
      <c r="G9" s="1" t="s">
        <v>9</v>
      </c>
      <c r="H9"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"/>
    </sheetView>
  </sheetViews>
  <sheetFormatPr baseColWidth="10" defaultRowHeight="15"/>
  <sheetData>
    <row r="1">
      <c r="A1" s="1" t="s">
        <v>36</v>
      </c>
      <c r="B1" s="3">
        <f>SUMPRODUCT(B3:D3,B4:D4)</f>
        <v>114999.99974829119</v>
      </c>
    </row>
    <row r="2">
      <c r="A2" s="1" t="s">
        <v>37</v>
      </c>
      <c r="B2" s="1" t="s">
        <v>14</v>
      </c>
      <c r="C2" s="1" t="s">
        <v>2</v>
      </c>
      <c r="D2" s="1" t="s">
        <v>38</v>
      </c>
    </row>
    <row r="3">
      <c r="B3">
        <v>0.25000000755126428</v>
      </c>
      <c r="C3">
        <v>0</v>
      </c>
      <c r="D3">
        <v>2.2499999748291191</v>
      </c>
    </row>
    <row r="4">
      <c r="B4">
        <v>100000</v>
      </c>
      <c r="C4">
        <v>18000</v>
      </c>
      <c r="D4">
        <v>40000</v>
      </c>
    </row>
    <row r="5">
      <c r="A5" s="1" t="s">
        <v>6</v>
      </c>
    </row>
    <row r="6">
      <c r="B6">
        <v>20000</v>
      </c>
      <c r="C6">
        <v>3000</v>
      </c>
      <c r="D6">
        <v>6000</v>
      </c>
      <c r="E6">
        <f>SUMPRODUCT(B3:D3,B6:D6)</f>
        <v>18500</v>
      </c>
      <c r="F6" s="1" t="s">
        <v>9</v>
      </c>
      <c r="G6" s="1">
        <v>18500</v>
      </c>
    </row>
    <row r="7">
      <c r="B7">
        <v>1</v>
      </c>
      <c r="E7">
        <f>B3*B7</f>
        <v>0.25000000755126428</v>
      </c>
      <c r="F7" s="1" t="s">
        <v>9</v>
      </c>
      <c r="G7">
        <v>10</v>
      </c>
    </row>
    <row r="8">
      <c r="C8">
        <v>1</v>
      </c>
      <c r="E8">
        <f>C3*C8</f>
        <v>0</v>
      </c>
      <c r="F8" s="1" t="s">
        <v>9</v>
      </c>
      <c r="G8">
        <v>20</v>
      </c>
    </row>
    <row r="9">
      <c r="D9">
        <v>1</v>
      </c>
      <c r="E9">
        <f>D3*D9</f>
        <v>2.2499999748291191</v>
      </c>
      <c r="F9" s="1" t="s">
        <v>9</v>
      </c>
      <c r="G9">
        <v>10</v>
      </c>
    </row>
    <row r="10">
      <c r="B10">
        <v>-0.5</v>
      </c>
      <c r="C10">
        <v>0.5</v>
      </c>
      <c r="D10">
        <v>-0.5</v>
      </c>
      <c r="E10">
        <f>SUMPRODUCT(B3:D3,B10:D10)</f>
        <v>-1.2499999911901916</v>
      </c>
      <c r="F10" s="1" t="s">
        <v>9</v>
      </c>
      <c r="G10" s="1">
        <v>0</v>
      </c>
    </row>
    <row r="11">
      <c r="B11">
        <v>0.90000000000000002</v>
      </c>
      <c r="C11">
        <v>-0.10000000000000001</v>
      </c>
      <c r="D11">
        <v>-0.10000000000000001</v>
      </c>
      <c r="E11">
        <f>SUMPRODUCT(B3:D3,B11:D11)</f>
        <v>9.3132259404438145e-09</v>
      </c>
      <c r="F11" s="1" t="s">
        <v>23</v>
      </c>
      <c r="G11" s="1"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2026-03-31T21:56:05Z</dcterms:modified>
</cp:coreProperties>
</file>