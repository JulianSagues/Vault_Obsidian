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1320" documentId="11_25ECF59304F7134D1C4F5E9C0BAFF804774F75A8" xr6:coauthVersionLast="47" xr6:coauthVersionMax="47" xr10:uidLastSave="{EF3DE2B0-1B47-4B8E-A33B-F47AA7F14E15}"/>
  <bookViews>
    <workbookView xWindow="-120" yWindow="-120" windowWidth="29040" windowHeight="15720" activeTab="1" xr2:uid="{00000000-000D-0000-FFFF-FFFF00000000}"/>
  </bookViews>
  <sheets>
    <sheet name="Informe de respuestas 1" sheetId="9" r:id="rId1"/>
    <sheet name="Informe de sensibilidad 1" sheetId="10" r:id="rId2"/>
    <sheet name="Informe de límites 1" sheetId="11" r:id="rId3"/>
    <sheet name="Hoja1" sheetId="1" r:id="rId4"/>
    <sheet name="Hoja2" sheetId="2" r:id="rId5"/>
    <sheet name="Hoja3" sheetId="3" r:id="rId6"/>
    <sheet name="Hoja4" sheetId="4" r:id="rId7"/>
    <sheet name="Hoja5" sheetId="5" r:id="rId8"/>
    <sheet name="Hoja6" sheetId="6" r:id="rId9"/>
    <sheet name="Hoja7" sheetId="7" r:id="rId10"/>
    <sheet name="Hoja8" sheetId="8" r:id="rId11"/>
  </sheets>
  <definedNames>
    <definedName name="solver_adj" localSheetId="3" hidden="1">Hoja1!$B$5:$C$5</definedName>
    <definedName name="solver_adj" localSheetId="4" hidden="1">Hoja2!$B$5:$C$5</definedName>
    <definedName name="solver_adj" localSheetId="5" hidden="1">Hoja3!$B$3:$G$3</definedName>
    <definedName name="solver_adj" localSheetId="6" hidden="1">Hoja4!$B$3:$E$3</definedName>
    <definedName name="solver_adj" localSheetId="7" hidden="1">Hoja5!$B$3:$D$3</definedName>
    <definedName name="solver_adj" localSheetId="8" hidden="1">Hoja6!$B$3:$D$3</definedName>
    <definedName name="solver_adj" localSheetId="9" hidden="1">Hoja7!$B$3:$E$3</definedName>
    <definedName name="solver_adj" localSheetId="10" hidden="1">Hoja8!$B$3:$D$3</definedName>
    <definedName name="solver_cvg" localSheetId="3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drv" localSheetId="3" hidden="1">2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1</definedName>
    <definedName name="solver_eng" localSheetId="8" hidden="1">1</definedName>
    <definedName name="solver_eng" localSheetId="9" hidden="1">1</definedName>
    <definedName name="solver_eng" localSheetId="1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lhs1" localSheetId="3" hidden="1">Hoja1!$D$9</definedName>
    <definedName name="solver_lhs1" localSheetId="4" hidden="1">Hoja2!$D$9</definedName>
    <definedName name="solver_lhs1" localSheetId="5" hidden="1">Hoja3!$H$6</definedName>
    <definedName name="solver_lhs1" localSheetId="6" hidden="1">Hoja4!$F$6</definedName>
    <definedName name="solver_lhs1" localSheetId="7" hidden="1">Hoja5!$E$6</definedName>
    <definedName name="solver_lhs1" localSheetId="8" hidden="1">Hoja6!$E$6</definedName>
    <definedName name="solver_lhs1" localSheetId="9" hidden="1">Hoja7!$F$6</definedName>
    <definedName name="solver_lhs1" localSheetId="10" hidden="1">Hoja8!$E$10</definedName>
    <definedName name="solver_lhs2" localSheetId="3" hidden="1">Hoja1!$D$10</definedName>
    <definedName name="solver_lhs2" localSheetId="4" hidden="1">Hoja2!$D$10</definedName>
    <definedName name="solver_lhs2" localSheetId="5" hidden="1">Hoja3!$H$7</definedName>
    <definedName name="solver_lhs2" localSheetId="6" hidden="1">Hoja4!$F$7</definedName>
    <definedName name="solver_lhs2" localSheetId="7" hidden="1">Hoja5!$E$7</definedName>
    <definedName name="solver_lhs2" localSheetId="8" hidden="1">Hoja6!$E$7</definedName>
    <definedName name="solver_lhs2" localSheetId="9" hidden="1">Hoja7!$F$7</definedName>
    <definedName name="solver_lhs2" localSheetId="10" hidden="1">Hoja8!$E$11</definedName>
    <definedName name="solver_lhs3" localSheetId="4" hidden="1">Hoja2!$D$11</definedName>
    <definedName name="solver_lhs3" localSheetId="5" hidden="1">Hoja3!$H$8</definedName>
    <definedName name="solver_lhs3" localSheetId="6" hidden="1">Hoja4!$F$8</definedName>
    <definedName name="solver_lhs3" localSheetId="7" hidden="1">Hoja5!$E$8</definedName>
    <definedName name="solver_lhs3" localSheetId="8" hidden="1">Hoja6!$E$8</definedName>
    <definedName name="solver_lhs3" localSheetId="9" hidden="1">Hoja7!$F$8</definedName>
    <definedName name="solver_lhs3" localSheetId="10" hidden="1">Hoja8!$E$6</definedName>
    <definedName name="solver_lhs4" localSheetId="6" hidden="1">Hoja4!$F$9</definedName>
    <definedName name="solver_lhs4" localSheetId="9" hidden="1">Hoja7!$F$9</definedName>
    <definedName name="solver_lhs4" localSheetId="10" hidden="1">Hoja8!$E$7</definedName>
    <definedName name="solver_lhs5" localSheetId="6" hidden="1">Hoja4!$F$10</definedName>
    <definedName name="solver_lhs5" localSheetId="10" hidden="1">Hoja8!$E$8</definedName>
    <definedName name="solver_lhs6" localSheetId="6" hidden="1">Hoja4!$F$11</definedName>
    <definedName name="solver_lhs6" localSheetId="10" hidden="1">Hoja8!$E$9</definedName>
    <definedName name="solver_mip" localSheetId="3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ni" localSheetId="3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rt" localSheetId="3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sl" localSheetId="3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od" localSheetId="3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um" localSheetId="3" hidden="1">2</definedName>
    <definedName name="solver_num" localSheetId="4" hidden="1">3</definedName>
    <definedName name="solver_num" localSheetId="5" hidden="1">3</definedName>
    <definedName name="solver_num" localSheetId="6" hidden="1">6</definedName>
    <definedName name="solver_num" localSheetId="7" hidden="1">3</definedName>
    <definedName name="solver_num" localSheetId="8" hidden="1">3</definedName>
    <definedName name="solver_num" localSheetId="9" hidden="1">4</definedName>
    <definedName name="solver_num" localSheetId="10" hidden="1">6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opt" localSheetId="3" hidden="1">Hoja1!$B$2</definedName>
    <definedName name="solver_opt" localSheetId="4" hidden="1">Hoja2!$B$2</definedName>
    <definedName name="solver_opt" localSheetId="5" hidden="1">Hoja3!$B$1</definedName>
    <definedName name="solver_opt" localSheetId="6" hidden="1">Hoja4!$B$1</definedName>
    <definedName name="solver_opt" localSheetId="7" hidden="1">Hoja5!$B$1</definedName>
    <definedName name="solver_opt" localSheetId="8" hidden="1">Hoja6!$B$1</definedName>
    <definedName name="solver_opt" localSheetId="9" hidden="1">Hoja7!$B$1</definedName>
    <definedName name="solver_opt" localSheetId="10" hidden="1">Hoja8!$B$1</definedName>
    <definedName name="solver_pre" localSheetId="3" hidden="1">0</definedName>
    <definedName name="solver_pre" localSheetId="4" hidden="1">0</definedName>
    <definedName name="solver_pre" localSheetId="5" hidden="1">0</definedName>
    <definedName name="solver_pre" localSheetId="6" hidden="1">0</definedName>
    <definedName name="solver_pre" localSheetId="8" hidden="1">0.0000000000001</definedName>
    <definedName name="solver_pre" localSheetId="9" hidden="1">0.000001</definedName>
    <definedName name="solver_pre" localSheetId="10" hidden="1">0.000001</definedName>
    <definedName name="solver_rbv" localSheetId="3" hidden="1">2</definedName>
    <definedName name="solver_rbv" localSheetId="8" hidden="1">2</definedName>
    <definedName name="solver_rbv" localSheetId="9" hidden="1">1</definedName>
    <definedName name="solver_rbv" localSheetId="10" hidden="1">1</definedName>
    <definedName name="solver_rel1" localSheetId="3" hidden="1">1</definedName>
    <definedName name="solver_rel1" localSheetId="4" hidden="1">1</definedName>
    <definedName name="solver_rel1" localSheetId="5" hidden="1">3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1</definedName>
    <definedName name="solver_rel2" localSheetId="3" hidden="1">2</definedName>
    <definedName name="solver_rel2" localSheetId="4" hidden="1">1</definedName>
    <definedName name="solver_rel2" localSheetId="5" hidden="1">3</definedName>
    <definedName name="solver_rel2" localSheetId="6" hidden="1">1</definedName>
    <definedName name="solver_rel2" localSheetId="7" hidden="1">3</definedName>
    <definedName name="solver_rel2" localSheetId="8" hidden="1">1</definedName>
    <definedName name="solver_rel2" localSheetId="9" hidden="1">1</definedName>
    <definedName name="solver_rel2" localSheetId="10" hidden="1">3</definedName>
    <definedName name="solver_rel3" localSheetId="4" hidden="1">1</definedName>
    <definedName name="solver_rel3" localSheetId="5" hidden="1">3</definedName>
    <definedName name="solver_rel3" localSheetId="6" hidden="1">1</definedName>
    <definedName name="solver_rel3" localSheetId="7" hidden="1">3</definedName>
    <definedName name="solver_rel3" localSheetId="8" hidden="1">1</definedName>
    <definedName name="solver_rel3" localSheetId="9" hidden="1">1</definedName>
    <definedName name="solver_rel3" localSheetId="10" hidden="1">1</definedName>
    <definedName name="solver_rel4" localSheetId="6" hidden="1">1</definedName>
    <definedName name="solver_rel4" localSheetId="9" hidden="1">1</definedName>
    <definedName name="solver_rel4" localSheetId="10" hidden="1">1</definedName>
    <definedName name="solver_rel5" localSheetId="6" hidden="1">3</definedName>
    <definedName name="solver_rel5" localSheetId="10" hidden="1">1</definedName>
    <definedName name="solver_rel6" localSheetId="6" hidden="1">3</definedName>
    <definedName name="solver_rel6" localSheetId="10" hidden="1">1</definedName>
    <definedName name="solver_rhs1" localSheetId="3" hidden="1">Hoja1!$F$9</definedName>
    <definedName name="solver_rhs1" localSheetId="4" hidden="1">Hoja2!$F$9</definedName>
    <definedName name="solver_rhs1" localSheetId="5" hidden="1">Hoja3!$J$6</definedName>
    <definedName name="solver_rhs1" localSheetId="6" hidden="1">Hoja4!$H$6</definedName>
    <definedName name="solver_rhs1" localSheetId="7" hidden="1">Hoja5!$G$6</definedName>
    <definedName name="solver_rhs1" localSheetId="8" hidden="1">Hoja6!$G$6</definedName>
    <definedName name="solver_rhs1" localSheetId="9" hidden="1">Hoja7!$H$6</definedName>
    <definedName name="solver_rhs1" localSheetId="10" hidden="1">Hoja8!$G$10</definedName>
    <definedName name="solver_rhs2" localSheetId="3" hidden="1">Hoja1!$F$10</definedName>
    <definedName name="solver_rhs2" localSheetId="4" hidden="1">Hoja2!$F$10</definedName>
    <definedName name="solver_rhs2" localSheetId="5" hidden="1">Hoja3!$J$7</definedName>
    <definedName name="solver_rhs2" localSheetId="6" hidden="1">Hoja4!$H$7</definedName>
    <definedName name="solver_rhs2" localSheetId="7" hidden="1">Hoja5!$G$7</definedName>
    <definedName name="solver_rhs2" localSheetId="8" hidden="1">Hoja6!$G$7</definedName>
    <definedName name="solver_rhs2" localSheetId="9" hidden="1">Hoja7!$H$7</definedName>
    <definedName name="solver_rhs2" localSheetId="10" hidden="1">Hoja8!$G$11</definedName>
    <definedName name="solver_rhs3" localSheetId="4" hidden="1">Hoja2!$F$11</definedName>
    <definedName name="solver_rhs3" localSheetId="5" hidden="1">Hoja3!$J$8</definedName>
    <definedName name="solver_rhs3" localSheetId="6" hidden="1">Hoja4!$H$8</definedName>
    <definedName name="solver_rhs3" localSheetId="7" hidden="1">Hoja5!$G$8</definedName>
    <definedName name="solver_rhs3" localSheetId="8" hidden="1">Hoja6!$G$8</definedName>
    <definedName name="solver_rhs3" localSheetId="9" hidden="1">Hoja7!$H$8</definedName>
    <definedName name="solver_rhs3" localSheetId="10" hidden="1">Hoja8!$G$6</definedName>
    <definedName name="solver_rhs4" localSheetId="6" hidden="1">Hoja4!$H$9</definedName>
    <definedName name="solver_rhs4" localSheetId="9" hidden="1">Hoja7!$H$9</definedName>
    <definedName name="solver_rhs4" localSheetId="10" hidden="1">Hoja8!$G$7</definedName>
    <definedName name="solver_rhs5" localSheetId="6" hidden="1">Hoja4!$H$10</definedName>
    <definedName name="solver_rhs5" localSheetId="10" hidden="1">Hoja8!$G$8</definedName>
    <definedName name="solver_rhs6" localSheetId="6" hidden="1">Hoja4!$H$11</definedName>
    <definedName name="solver_rhs6" localSheetId="10" hidden="1">Hoja8!$G$9</definedName>
    <definedName name="solver_rlx" localSheetId="3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sd" localSheetId="3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scl" localSheetId="3" hidden="1">2</definedName>
    <definedName name="solver_scl" localSheetId="4" hidden="1">2</definedName>
    <definedName name="solver_scl" localSheetId="5" hidden="1">2</definedName>
    <definedName name="solver_scl" localSheetId="6" hidden="1">2</definedName>
    <definedName name="solver_scl" localSheetId="8" hidden="1">2</definedName>
    <definedName name="solver_scl" localSheetId="9" hidden="1">1</definedName>
    <definedName name="solver_scl" localSheetId="10" hidden="1">1</definedName>
    <definedName name="solver_sho" localSheetId="3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2" hidden="1">2</definedName>
    <definedName name="solver_ssz" localSheetId="3" hidden="1">100</definedName>
    <definedName name="solver_ssz" localSheetId="8" hidden="1">0</definedName>
    <definedName name="solver_ssz" localSheetId="9" hidden="1">100</definedName>
    <definedName name="solver_ssz" localSheetId="10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ol" localSheetId="3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yp" localSheetId="3" hidden="1">2</definedName>
    <definedName name="solver_typ" localSheetId="4" hidden="1">1</definedName>
    <definedName name="solver_typ" localSheetId="5" hidden="1">2</definedName>
    <definedName name="solver_typ" localSheetId="6" hidden="1">1</definedName>
    <definedName name="solver_typ" localSheetId="7" hidden="1">1</definedName>
    <definedName name="solver_typ" localSheetId="8" hidden="1">2</definedName>
    <definedName name="solver_typ" localSheetId="9" hidden="1">1</definedName>
    <definedName name="solver_typ" localSheetId="10" hidden="1">1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6" i="6"/>
  <c r="E11" i="8"/>
  <c r="E10" i="8"/>
  <c r="E9" i="8"/>
  <c r="E8" i="8"/>
  <c r="E7" i="8"/>
  <c r="E6" i="8"/>
  <c r="B1" i="8"/>
  <c r="F9" i="7"/>
  <c r="F8" i="7"/>
  <c r="F7" i="7"/>
  <c r="F6" i="7"/>
  <c r="B1" i="7"/>
  <c r="B1" i="6"/>
  <c r="F11" i="4"/>
  <c r="F10" i="4"/>
  <c r="F9" i="4"/>
  <c r="F8" i="4"/>
  <c r="F7" i="4"/>
  <c r="F6" i="4"/>
  <c r="B1" i="4"/>
  <c r="H8" i="3"/>
  <c r="H7" i="3"/>
  <c r="H6" i="3"/>
  <c r="B1" i="3"/>
  <c r="D11" i="2"/>
  <c r="D10" i="2"/>
  <c r="D9" i="2"/>
  <c r="B2" i="2"/>
  <c r="D10" i="1"/>
  <c r="D9" i="1"/>
  <c r="B2" i="1"/>
  <c r="E8" i="5"/>
  <c r="E7" i="5"/>
  <c r="E6" i="5"/>
  <c r="B1" i="5"/>
</calcChain>
</file>

<file path=xl/sharedStrings.xml><?xml version="1.0" encoding="utf-8"?>
<sst xmlns="http://schemas.openxmlformats.org/spreadsheetml/2006/main" count="201" uniqueCount="94">
  <si>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</si>
  <si>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</si>
  <si>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</si>
  <si>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</si>
  <si>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</si>
  <si>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</si>
  <si>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</si>
  <si>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</si>
  <si>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</si>
  <si>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</si>
  <si>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</si>
  <si>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</si>
  <si>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</si>
  <si>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</si>
  <si>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</si>
  <si>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</si>
  <si>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</si>
  <si>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</si>
  <si>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</si>
  <si>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</si>
  <si>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</si>
  <si>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</si>
  <si>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</si>
  <si>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</si>
  <si>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</si>
  <si>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</si>
  <si>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</si>
  <si>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</si>
  <si>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</si>
  <si>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</si>
  <si>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</si>
  <si>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NR</t>
  </si>
  <si>
    <t>IR</t>
  </si>
  <si>
    <t>NE</t>
  </si>
  <si>
    <t>IE</t>
  </si>
  <si>
    <t>Restrricciones</t>
  </si>
  <si>
    <t>?</t>
  </si>
  <si>
    <t>Servicios</t>
  </si>
  <si>
    <t>P</t>
  </si>
  <si>
    <t>Microsoft Excel 16.0 Informe de respuestas</t>
  </si>
  <si>
    <t>Hoja de cálculo: [TP3.xlsx]Hoja1</t>
  </si>
  <si>
    <t>Informe creado: 8/4/2026 11:09:55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</si>
  <si>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</si>
  <si>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</si>
  <si>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</si>
  <si>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</si>
  <si>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</si>
  <si>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</si>
  <si>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</t>
  </si>
  <si>
    <t>Máximo de subproblemas Ilimitado, Máximo de soluciones de enteros Ilimitado, Tolerancia de enteros 1%, Asumir no negativo</t>
  </si>
  <si>
    <t>Celda objetivo (Mín)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</si>
  <si>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</si>
  <si>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</si>
  <si>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</si>
  <si>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</si>
  <si>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</si>
  <si>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</si>
  <si>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</si>
  <si>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</si>
  <si>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</si>
  <si>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</si>
  <si>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$B$2</t>
  </si>
  <si>
    <t>$B$5</t>
  </si>
  <si>
    <t>cantidad R</t>
  </si>
  <si>
    <t>Continuar</t>
  </si>
  <si>
    <t>$C$5</t>
  </si>
  <si>
    <t>cantidad C</t>
  </si>
  <si>
    <t>$D$9</t>
  </si>
  <si>
    <t>Grasa LI</t>
  </si>
  <si>
    <t>$D$9&lt;=$F$9</t>
  </si>
  <si>
    <t>Vinculante</t>
  </si>
  <si>
    <t>$D$10</t>
  </si>
  <si>
    <t>$D$10=$F$10</t>
  </si>
  <si>
    <t>Microsoft Excel 16.0 Informe de sensibilidad</t>
  </si>
  <si>
    <t>Final</t>
  </si>
  <si>
    <t>Valor</t>
  </si>
  <si>
    <t>Reducido</t>
  </si>
  <si>
    <t>Coste</t>
  </si>
  <si>
    <t>Objetivo</t>
  </si>
  <si>
    <t>Coeficiente</t>
  </si>
  <si>
    <t>Permisible</t>
  </si>
  <si>
    <t>Aumentar</t>
  </si>
  <si>
    <t>Reducir</t>
  </si>
  <si>
    <t>Sombra</t>
  </si>
  <si>
    <t>Precio</t>
  </si>
  <si>
    <t>Restricción</t>
  </si>
  <si>
    <t>Lado derecho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</si>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</sst>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4" xfId="0" applyFill="1" applyBorder="1" applyAlignment="1"/>
    <xf numFmtId="0" fontId="3" fillId="0" borderId="3" xfId="0" applyFont="1" applyFill="1" applyBorder="1" applyAlignment="1">
      <alignment horizontal="center"/>
    </xf>
    <xf numFmtId="0" fontId="0" fillId="0" borderId="5" xfId="0" applyFill="1" applyBorder="1" applyAlignment="1"/>
    <xf numFmtId="0" fontId="0" fillId="0" borderId="4" xfId="0" applyNumberFormat="1" applyFill="1" applyBorder="1" applyAlignment="1"/>
    <xf numFmtId="0" fontId="0" fillId="0" borderId="5" xfId="0" applyNumberFormat="1" applyFill="1" applyBorder="1" applyAlignment="1"/>
    <xf numFmtId="0" fontId="3" fillId="0" borderId="1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37C2-60F1-46E0-BDD1-D05368465958}">
  <dimension ref="A1:G28"/>
  <sheetViews>
    <sheetView showGridLines="0" workbookViewId="0"/>
  </sheetViews>
  <sheetFormatPr baseColWidth="10" defaultRowHeight="15" x14ac:dyDescent="0.25"/>
  <cols>
    <col min="1" max="1" width="2.28515625" customWidth="1"/>
    <col min="2" max="2" width="6.28515625" bestFit="1" customWidth="1"/>
    <col min="3" max="3" width="10.140625" bestFit="1" customWidth="1"/>
    <col min="4" max="4" width="15.5703125" bestFit="1" customWidth="1"/>
    <col min="5" max="5" width="12.28515625" bestFit="1" customWidth="1"/>
    <col min="6" max="6" width="10.5703125" bestFit="1" customWidth="1"/>
    <col min="7" max="7" width="8" bestFit="1" customWidth="1"/>
  </cols>
  <sheetData>
    <row r="1" spans="1:5" x14ac:dyDescent="0.25">
      <c r="A1" s="2" t="s">
        <v>39</v>
      </c>
    </row>
    <row r="2" spans="1:5" x14ac:dyDescent="0.25">
      <c r="A2" s="2" t="s">
        <v>40</v>
      </c>
    </row>
    <row r="3" spans="1:5" x14ac:dyDescent="0.25">
      <c r="A3" s="2" t="s">
        <v>41</v>
      </c>
    </row>
    <row r="4" spans="1:5" x14ac:dyDescent="0.25">
      <c r="A4" s="2" t="s">
        <v>42</v>
      </c>
    </row>
    <row r="5" spans="1:5" x14ac:dyDescent="0.25">
      <c r="A5" s="2" t="s">
        <v>43</v>
      </c>
    </row>
    <row r="6" spans="1:5" x14ac:dyDescent="0.25">
      <c r="A6" s="2"/>
      <c r="B6" t="s">
        <v>44</v>
      </c>
    </row>
    <row r="7" spans="1:5" x14ac:dyDescent="0.25">
      <c r="A7" s="2"/>
      <c r="B7" t="s">
        <v>45</v>
      </c>
    </row>
    <row r="8" spans="1:5" x14ac:dyDescent="0.25">
      <c r="A8" s="2"/>
      <c r="B8" t="s">
        <v>46</v>
      </c>
    </row>
    <row r="9" spans="1:5" x14ac:dyDescent="0.25">
      <c r="A9" s="2" t="s">
        <v>47</v>
      </c>
    </row>
    <row r="10" spans="1:5" x14ac:dyDescent="0.25">
      <c r="B10" t="s">
        <v>48</v>
      </c>
    </row>
    <row r="11" spans="1:5" x14ac:dyDescent="0.25">
      <c r="B11" t="s">
        <v>49</v>
      </c>
    </row>
    <row r="14" spans="1:5" ht="15.75" thickBot="1" x14ac:dyDescent="0.3">
      <c r="A14" t="s">
        <v>50</v>
      </c>
    </row>
    <row r="15" spans="1:5" ht="15.75" thickBot="1" x14ac:dyDescent="0.3">
      <c r="B15" s="4" t="s">
        <v>51</v>
      </c>
      <c r="C15" s="4" t="s">
        <v>52</v>
      </c>
      <c r="D15" s="4" t="s">
        <v>53</v>
      </c>
      <c r="E15" s="4" t="s">
        <v>54</v>
      </c>
    </row>
    <row r="16" spans="1:5" ht="15.75" thickBot="1" x14ac:dyDescent="0.3">
      <c r="B16" s="3" t="s">
        <v>61</v>
      </c>
      <c r="C16" s="3" t="s">
        <v>0</v>
      </c>
      <c r="D16" s="6">
        <v>716.66666666666742</v>
      </c>
      <c r="E16" s="6">
        <v>716.66666666666663</v>
      </c>
    </row>
    <row r="19" spans="1:7" ht="15.75" thickBot="1" x14ac:dyDescent="0.3">
      <c r="A19" t="s">
        <v>55</v>
      </c>
    </row>
    <row r="20" spans="1:7" ht="15.75" thickBot="1" x14ac:dyDescent="0.3">
      <c r="B20" s="4" t="s">
        <v>51</v>
      </c>
      <c r="C20" s="4" t="s">
        <v>52</v>
      </c>
      <c r="D20" s="4" t="s">
        <v>53</v>
      </c>
      <c r="E20" s="4" t="s">
        <v>54</v>
      </c>
      <c r="F20" s="4" t="s">
        <v>56</v>
      </c>
    </row>
    <row r="21" spans="1:7" x14ac:dyDescent="0.25">
      <c r="B21" s="5" t="s">
        <v>62</v>
      </c>
      <c r="C21" s="5" t="s">
        <v>63</v>
      </c>
      <c r="D21" s="7">
        <v>0.58333333333333404</v>
      </c>
      <c r="E21" s="7">
        <v>0.58333333333333337</v>
      </c>
      <c r="F21" s="5" t="s">
        <v>64</v>
      </c>
    </row>
    <row r="22" spans="1:7" ht="15.75" thickBot="1" x14ac:dyDescent="0.3">
      <c r="B22" s="3" t="s">
        <v>65</v>
      </c>
      <c r="C22" s="3" t="s">
        <v>66</v>
      </c>
      <c r="D22" s="6">
        <v>0.41666666666666702</v>
      </c>
      <c r="E22" s="6">
        <v>0.41666666666666663</v>
      </c>
      <c r="F22" s="3" t="s">
        <v>64</v>
      </c>
    </row>
    <row r="25" spans="1:7" ht="15.75" thickBot="1" x14ac:dyDescent="0.3">
      <c r="A25" t="s">
        <v>6</v>
      </c>
    </row>
    <row r="26" spans="1:7" ht="15.75" thickBot="1" x14ac:dyDescent="0.3">
      <c r="B26" s="4" t="s">
        <v>51</v>
      </c>
      <c r="C26" s="4" t="s">
        <v>52</v>
      </c>
      <c r="D26" s="4" t="s">
        <v>57</v>
      </c>
      <c r="E26" s="4" t="s">
        <v>58</v>
      </c>
      <c r="F26" s="4" t="s">
        <v>59</v>
      </c>
      <c r="G26" s="4" t="s">
        <v>60</v>
      </c>
    </row>
    <row r="27" spans="1:7" x14ac:dyDescent="0.25">
      <c r="B27" s="5" t="s">
        <v>67</v>
      </c>
      <c r="C27" s="5" t="s">
        <v>68</v>
      </c>
      <c r="D27" s="7">
        <v>0.25</v>
      </c>
      <c r="E27" s="5" t="s">
        <v>69</v>
      </c>
      <c r="F27" s="5" t="s">
        <v>70</v>
      </c>
      <c r="G27" s="5">
        <v>0</v>
      </c>
    </row>
    <row r="28" spans="1:7" ht="15.75" thickBot="1" x14ac:dyDescent="0.3">
      <c r="B28" s="3" t="s">
        <v>71</v>
      </c>
      <c r="C28" s="3" t="s">
        <v>7</v>
      </c>
      <c r="D28" s="6">
        <v>1</v>
      </c>
      <c r="E28" s="3" t="s">
        <v>72</v>
      </c>
      <c r="F28" s="3" t="s">
        <v>70</v>
      </c>
      <c r="G28" s="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57C1-1458-41E5-9F81-2F95A0E94B20}">
  <dimension ref="A1:H16"/>
  <sheetViews>
    <sheetView showGridLines="0" tabSelected="1" workbookViewId="0"/>
  </sheetViews>
  <sheetFormatPr baseColWidth="10" defaultRowHeight="15" x14ac:dyDescent="0.25"/>
  <cols>
    <col min="1" max="1" width="2.28515625" customWidth="1"/>
    <col min="2" max="2" width="6.28515625" bestFit="1" customWidth="1"/>
    <col min="3" max="3" width="10.140625" bestFit="1" customWidth="1"/>
    <col min="4" max="4" width="12" bestFit="1" customWidth="1"/>
    <col min="5" max="5" width="12.7109375" bestFit="1" customWidth="1"/>
    <col min="6" max="6" width="12.85546875" bestFit="1" customWidth="1"/>
    <col min="7" max="8" width="10.5703125" bestFit="1" customWidth="1"/>
  </cols>
  <sheetData>
    <row r="1" spans="1:8" x14ac:dyDescent="0.25">
      <c r="A1" s="2" t="s">
        <v>73</v>
      </c>
    </row>
    <row r="2" spans="1:8" x14ac:dyDescent="0.25">
      <c r="A2" s="2" t="s">
        <v>40</v>
      </c>
    </row>
    <row r="3" spans="1:8" x14ac:dyDescent="0.25">
      <c r="A3" s="2" t="s">
        <v>41</v>
      </c>
    </row>
    <row r="6" spans="1:8" ht="15.75" thickBot="1" x14ac:dyDescent="0.3">
      <c r="A6" t="s">
        <v>55</v>
      </c>
    </row>
    <row r="7" spans="1:8" x14ac:dyDescent="0.25">
      <c r="B7" s="8"/>
      <c r="C7" s="8"/>
      <c r="D7" s="8" t="s">
        <v>74</v>
      </c>
      <c r="E7" s="8" t="s">
        <v>76</v>
      </c>
      <c r="F7" s="8" t="s">
        <v>78</v>
      </c>
      <c r="G7" s="8" t="s">
        <v>80</v>
      </c>
      <c r="H7" s="8" t="s">
        <v>80</v>
      </c>
    </row>
    <row r="8" spans="1:8" ht="15.75" thickBot="1" x14ac:dyDescent="0.3">
      <c r="B8" s="9" t="s">
        <v>51</v>
      </c>
      <c r="C8" s="9" t="s">
        <v>52</v>
      </c>
      <c r="D8" s="9" t="s">
        <v>75</v>
      </c>
      <c r="E8" s="9" t="s">
        <v>77</v>
      </c>
      <c r="F8" s="9" t="s">
        <v>79</v>
      </c>
      <c r="G8" s="9" t="s">
        <v>81</v>
      </c>
      <c r="H8" s="9" t="s">
        <v>82</v>
      </c>
    </row>
    <row r="9" spans="1:8" x14ac:dyDescent="0.25">
      <c r="B9" s="5" t="s">
        <v>62</v>
      </c>
      <c r="C9" s="5" t="s">
        <v>63</v>
      </c>
      <c r="D9" s="5">
        <v>0.58333333333333337</v>
      </c>
      <c r="E9" s="5">
        <v>0</v>
      </c>
      <c r="F9" s="5">
        <v>800</v>
      </c>
      <c r="G9" s="5">
        <v>1E+30</v>
      </c>
      <c r="H9" s="5">
        <v>200</v>
      </c>
    </row>
    <row r="10" spans="1:8" ht="15.75" thickBot="1" x14ac:dyDescent="0.3">
      <c r="B10" s="3" t="s">
        <v>65</v>
      </c>
      <c r="C10" s="3" t="s">
        <v>66</v>
      </c>
      <c r="D10" s="3">
        <v>0.41666666666666663</v>
      </c>
      <c r="E10" s="3">
        <v>0</v>
      </c>
      <c r="F10" s="3">
        <v>600</v>
      </c>
      <c r="G10" s="3">
        <v>200</v>
      </c>
      <c r="H10" s="3">
        <v>1E+30</v>
      </c>
    </row>
    <row r="12" spans="1:8" ht="15.75" thickBot="1" x14ac:dyDescent="0.3">
      <c r="A12" t="s">
        <v>6</v>
      </c>
    </row>
    <row r="13" spans="1:8" x14ac:dyDescent="0.25">
      <c r="B13" s="8"/>
      <c r="C13" s="8"/>
      <c r="D13" s="8" t="s">
        <v>74</v>
      </c>
      <c r="E13" s="8" t="s">
        <v>83</v>
      </c>
      <c r="F13" s="8" t="s">
        <v>85</v>
      </c>
      <c r="G13" s="8" t="s">
        <v>80</v>
      </c>
      <c r="H13" s="8" t="s">
        <v>80</v>
      </c>
    </row>
    <row r="14" spans="1:8" ht="15.75" thickBot="1" x14ac:dyDescent="0.3">
      <c r="B14" s="9" t="s">
        <v>51</v>
      </c>
      <c r="C14" s="9" t="s">
        <v>52</v>
      </c>
      <c r="D14" s="9" t="s">
        <v>75</v>
      </c>
      <c r="E14" s="9" t="s">
        <v>84</v>
      </c>
      <c r="F14" s="9" t="s">
        <v>86</v>
      </c>
      <c r="G14" s="9" t="s">
        <v>81</v>
      </c>
      <c r="H14" s="9" t="s">
        <v>82</v>
      </c>
    </row>
    <row r="15" spans="1:8" x14ac:dyDescent="0.25">
      <c r="B15" s="5" t="s">
        <v>67</v>
      </c>
      <c r="C15" s="5" t="s">
        <v>68</v>
      </c>
      <c r="D15" s="5">
        <v>0.25</v>
      </c>
      <c r="E15" s="5">
        <v>-1666.6666666666667</v>
      </c>
      <c r="F15" s="5">
        <v>0.25</v>
      </c>
      <c r="G15" s="5">
        <v>6.9999999999999993E-2</v>
      </c>
      <c r="H15" s="5">
        <v>4.9999999999999989E-2</v>
      </c>
    </row>
    <row r="16" spans="1:8" ht="15.75" thickBot="1" x14ac:dyDescent="0.3">
      <c r="B16" s="3" t="s">
        <v>71</v>
      </c>
      <c r="C16" s="3" t="s">
        <v>7</v>
      </c>
      <c r="D16" s="3">
        <v>1</v>
      </c>
      <c r="E16" s="3">
        <v>1133.3333333333335</v>
      </c>
      <c r="F16" s="3">
        <v>1</v>
      </c>
      <c r="G16" s="3">
        <v>0.24999999999999994</v>
      </c>
      <c r="H16" s="3">
        <v>0.21875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5D97D-C48A-4C8B-A0BC-DA273EC8F6A1}">
  <dimension ref="A1:J14"/>
  <sheetViews>
    <sheetView showGridLines="0" workbookViewId="0">
      <selection sqref="A1:A3"/>
    </sheetView>
  </sheetViews>
  <sheetFormatPr baseColWidth="10" defaultRowHeight="15" x14ac:dyDescent="0.25"/>
  <cols>
    <col min="1" max="1" width="2.28515625" customWidth="1"/>
    <col min="2" max="2" width="6" bestFit="1" customWidth="1"/>
    <col min="3" max="3" width="8.42578125" bestFit="1" customWidth="1"/>
    <col min="4" max="4" width="5.7109375" bestFit="1" customWidth="1"/>
    <col min="5" max="5" width="2.28515625" customWidth="1"/>
    <col min="6" max="6" width="7.7109375" bestFit="1" customWidth="1"/>
    <col min="7" max="7" width="9.85546875" bestFit="1" customWidth="1"/>
    <col min="8" max="8" width="2.28515625" customWidth="1"/>
    <col min="9" max="9" width="8.5703125" bestFit="1" customWidth="1"/>
    <col min="10" max="10" width="9.85546875" bestFit="1" customWidth="1"/>
  </cols>
  <sheetData>
    <row r="1" spans="1:10" x14ac:dyDescent="0.25">
      <c r="A1" s="2" t="s">
        <v>87</v>
      </c>
    </row>
    <row r="2" spans="1:10" x14ac:dyDescent="0.25">
      <c r="A2" s="2" t="s">
        <v>40</v>
      </c>
    </row>
    <row r="3" spans="1:10" x14ac:dyDescent="0.25">
      <c r="A3" s="2" t="s">
        <v>41</v>
      </c>
    </row>
    <row r="5" spans="1:10" ht="15.75" thickBot="1" x14ac:dyDescent="0.3"/>
    <row r="6" spans="1:10" x14ac:dyDescent="0.25">
      <c r="B6" s="8"/>
      <c r="C6" s="8" t="s">
        <v>78</v>
      </c>
      <c r="D6" s="8"/>
    </row>
    <row r="7" spans="1:10" ht="15.75" thickBot="1" x14ac:dyDescent="0.3">
      <c r="B7" s="9" t="s">
        <v>51</v>
      </c>
      <c r="C7" s="9" t="s">
        <v>52</v>
      </c>
      <c r="D7" s="9" t="s">
        <v>75</v>
      </c>
    </row>
    <row r="8" spans="1:10" ht="15.75" thickBot="1" x14ac:dyDescent="0.3">
      <c r="B8" s="3" t="s">
        <v>61</v>
      </c>
      <c r="C8" s="3" t="s">
        <v>0</v>
      </c>
      <c r="D8" s="6">
        <v>716.66666666666663</v>
      </c>
    </row>
    <row r="10" spans="1:10" ht="15.75" thickBot="1" x14ac:dyDescent="0.3"/>
    <row r="11" spans="1:10" x14ac:dyDescent="0.25">
      <c r="B11" s="8"/>
      <c r="C11" s="8" t="s">
        <v>88</v>
      </c>
      <c r="D11" s="8"/>
      <c r="F11" s="8" t="s">
        <v>89</v>
      </c>
      <c r="G11" s="8" t="s">
        <v>78</v>
      </c>
      <c r="I11" s="8" t="s">
        <v>92</v>
      </c>
      <c r="J11" s="8" t="s">
        <v>78</v>
      </c>
    </row>
    <row r="12" spans="1:10" ht="15.75" thickBot="1" x14ac:dyDescent="0.3">
      <c r="B12" s="9" t="s">
        <v>51</v>
      </c>
      <c r="C12" s="9" t="s">
        <v>52</v>
      </c>
      <c r="D12" s="9" t="s">
        <v>75</v>
      </c>
      <c r="F12" s="9" t="s">
        <v>90</v>
      </c>
      <c r="G12" s="9" t="s">
        <v>91</v>
      </c>
      <c r="I12" s="9" t="s">
        <v>90</v>
      </c>
      <c r="J12" s="9" t="s">
        <v>91</v>
      </c>
    </row>
    <row r="13" spans="1:10" x14ac:dyDescent="0.25">
      <c r="B13" s="5" t="s">
        <v>62</v>
      </c>
      <c r="C13" s="5" t="s">
        <v>63</v>
      </c>
      <c r="D13" s="7">
        <v>0.58333333333333337</v>
      </c>
      <c r="F13" s="5" t="s">
        <v>93</v>
      </c>
      <c r="G13" s="5" t="s">
        <v>93</v>
      </c>
      <c r="I13" s="5" t="s">
        <v>93</v>
      </c>
      <c r="J13" s="5" t="s">
        <v>93</v>
      </c>
    </row>
    <row r="14" spans="1:10" ht="15.75" thickBot="1" x14ac:dyDescent="0.3">
      <c r="B14" s="3" t="s">
        <v>65</v>
      </c>
      <c r="C14" s="3" t="s">
        <v>66</v>
      </c>
      <c r="D14" s="6">
        <v>0.41666666666666663</v>
      </c>
      <c r="F14" s="3" t="s">
        <v>93</v>
      </c>
      <c r="G14" s="3" t="s">
        <v>93</v>
      </c>
      <c r="I14" s="3" t="s">
        <v>93</v>
      </c>
      <c r="J14" s="3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15" customWidth="1"/>
    <col min="2" max="3" width="12" bestFit="1" customWidth="1"/>
    <col min="4" max="4" width="5" bestFit="1" customWidth="1"/>
    <col min="6" max="6" width="5" bestFit="1" customWidth="1"/>
  </cols>
  <sheetData>
    <row r="2" spans="1:6" x14ac:dyDescent="0.25">
      <c r="A2" t="s">
        <v>0</v>
      </c>
      <c r="B2">
        <f>B5*B6+C5*C6</f>
        <v>716.66666666666663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0.58333333333333337</v>
      </c>
      <c r="C5">
        <v>0.41666666666666663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</v>
      </c>
      <c r="C3">
        <v>0</v>
      </c>
      <c r="D3">
        <v>145</v>
      </c>
      <c r="E3">
        <v>9.9999999999999982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9.9999999999999982</v>
      </c>
      <c r="G9" t="s">
        <v>26</v>
      </c>
      <c r="H9">
        <v>25</v>
      </c>
    </row>
    <row r="10" spans="1:8" x14ac:dyDescent="0.25">
      <c r="B10">
        <v>1</v>
      </c>
      <c r="F10">
        <f>B3*B10</f>
        <v>50</v>
      </c>
      <c r="G10" t="s">
        <v>23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23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t="s">
        <v>27</v>
      </c>
      <c r="B1">
        <f>SUMPRODUCT(B3:D3,B4:D4)</f>
        <v>40000</v>
      </c>
    </row>
    <row r="2" spans="1:7" x14ac:dyDescent="0.25">
      <c r="A2" t="s">
        <v>25</v>
      </c>
      <c r="B2" t="s">
        <v>18</v>
      </c>
      <c r="C2" t="s">
        <v>19</v>
      </c>
      <c r="D2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t="s">
        <v>9</v>
      </c>
      <c r="G6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t="s">
        <v>23</v>
      </c>
      <c r="G8">
        <v>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24</v>
      </c>
      <c r="B1">
        <f>SUMPRODUCT(B3:D3,B4:D4)</f>
        <v>0</v>
      </c>
    </row>
    <row r="2" spans="1:7" x14ac:dyDescent="0.25">
      <c r="A2" t="s">
        <v>28</v>
      </c>
      <c r="B2" t="s">
        <v>22</v>
      </c>
      <c r="C2" t="s">
        <v>29</v>
      </c>
      <c r="D2" t="s">
        <v>3</v>
      </c>
    </row>
    <row r="3" spans="1:7" x14ac:dyDescent="0.25">
      <c r="B3">
        <v>0</v>
      </c>
      <c r="C3">
        <v>0</v>
      </c>
      <c r="D3">
        <v>0</v>
      </c>
    </row>
    <row r="4" spans="1:7" x14ac:dyDescent="0.25">
      <c r="B4">
        <v>1</v>
      </c>
      <c r="C4">
        <v>1</v>
      </c>
      <c r="D4">
        <v>1</v>
      </c>
    </row>
    <row r="5" spans="1:7" x14ac:dyDescent="0.25">
      <c r="A5" t="s">
        <v>6</v>
      </c>
    </row>
    <row r="6" spans="1:7" x14ac:dyDescent="0.25">
      <c r="B6">
        <v>0.2</v>
      </c>
      <c r="D6">
        <v>0.1</v>
      </c>
      <c r="E6">
        <f>SUMPRODUCT(B3:D3,B6:D6)</f>
        <v>0</v>
      </c>
      <c r="F6" t="s">
        <v>9</v>
      </c>
      <c r="G6">
        <v>200</v>
      </c>
    </row>
    <row r="7" spans="1:7" x14ac:dyDescent="0.25">
      <c r="B7">
        <v>0.5</v>
      </c>
      <c r="C7">
        <v>0.5</v>
      </c>
      <c r="D7">
        <v>0.4</v>
      </c>
      <c r="E7">
        <f>SUMPRODUCT(B3:D3,B7:D7)</f>
        <v>0</v>
      </c>
      <c r="F7" t="s">
        <v>9</v>
      </c>
      <c r="G7">
        <v>800</v>
      </c>
    </row>
    <row r="8" spans="1:7" x14ac:dyDescent="0.25">
      <c r="C8">
        <v>0.2</v>
      </c>
      <c r="D8">
        <v>0.3</v>
      </c>
      <c r="E8">
        <f>SUMPRODUCT(B3:D3,B8:D8)</f>
        <v>0</v>
      </c>
      <c r="F8" t="s">
        <v>9</v>
      </c>
      <c r="G8">
        <v>150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t="s">
        <v>11</v>
      </c>
      <c r="B1">
        <f>SUMPRODUCT(B3:E3,B4:E4)</f>
        <v>33907636547.368427</v>
      </c>
    </row>
    <row r="2" spans="1:8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t="s">
        <v>35</v>
      </c>
    </row>
    <row r="6" spans="1:8" x14ac:dyDescent="0.25">
      <c r="B6">
        <v>1</v>
      </c>
      <c r="C6">
        <v>1</v>
      </c>
      <c r="F6">
        <f>SUMPRODUCT(B3:C3,B6:C6)</f>
        <v>0</v>
      </c>
      <c r="G6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t="s">
        <v>9</v>
      </c>
      <c r="H9">
        <v>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t="s">
        <v>36</v>
      </c>
      <c r="B1" s="1">
        <f>SUMPRODUCT(B3:D3,B4:D4)</f>
        <v>114999.99974829119</v>
      </c>
    </row>
    <row r="2" spans="1:7" x14ac:dyDescent="0.25">
      <c r="A2" t="s">
        <v>37</v>
      </c>
      <c r="B2" t="s">
        <v>14</v>
      </c>
      <c r="C2" t="s">
        <v>2</v>
      </c>
      <c r="D2" t="s">
        <v>38</v>
      </c>
    </row>
    <row r="3" spans="1:7" x14ac:dyDescent="0.25">
      <c r="B3">
        <v>0.25000000755126428</v>
      </c>
      <c r="C3">
        <v>0</v>
      </c>
      <c r="D3">
        <v>2.2499999748291191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t="s">
        <v>6</v>
      </c>
    </row>
    <row r="6" spans="1:7" x14ac:dyDescent="0.25">
      <c r="B6">
        <v>20000</v>
      </c>
      <c r="C6">
        <v>3000</v>
      </c>
      <c r="D6">
        <v>6000</v>
      </c>
      <c r="E6">
        <f>SUMPRODUCT(B3:D3,B6:D6)</f>
        <v>18500</v>
      </c>
      <c r="F6" t="s">
        <v>9</v>
      </c>
      <c r="G6">
        <v>18500</v>
      </c>
    </row>
    <row r="7" spans="1:7" x14ac:dyDescent="0.25">
      <c r="B7">
        <v>1</v>
      </c>
      <c r="E7">
        <f>B3*B7</f>
        <v>0.25000000755126428</v>
      </c>
      <c r="F7" t="s">
        <v>9</v>
      </c>
      <c r="G7">
        <v>10</v>
      </c>
    </row>
    <row r="8" spans="1:7" x14ac:dyDescent="0.25">
      <c r="C8">
        <v>1</v>
      </c>
      <c r="E8">
        <f>C3*C8</f>
        <v>0</v>
      </c>
      <c r="F8" t="s">
        <v>9</v>
      </c>
      <c r="G8">
        <v>20</v>
      </c>
    </row>
    <row r="9" spans="1:7" x14ac:dyDescent="0.25">
      <c r="D9">
        <v>1</v>
      </c>
      <c r="E9">
        <f>D3*D9</f>
        <v>2.2499999748291191</v>
      </c>
      <c r="F9" t="s">
        <v>9</v>
      </c>
      <c r="G9">
        <v>10</v>
      </c>
    </row>
    <row r="10" spans="1:7" x14ac:dyDescent="0.25">
      <c r="B10">
        <v>-0.5</v>
      </c>
      <c r="C10">
        <v>0.5</v>
      </c>
      <c r="D10">
        <v>-0.5</v>
      </c>
      <c r="E10">
        <f>SUMPRODUCT(B3:D3,B10:D10)</f>
        <v>-1.2499999911901916</v>
      </c>
      <c r="F10" t="s">
        <v>9</v>
      </c>
      <c r="G10">
        <v>0</v>
      </c>
    </row>
    <row r="11" spans="1:7" x14ac:dyDescent="0.25">
      <c r="B11">
        <v>0.9</v>
      </c>
      <c r="C11">
        <v>-0.1</v>
      </c>
      <c r="D11">
        <v>-0.1</v>
      </c>
      <c r="E11">
        <f>SUMPRODUCT(B3:D3,B11:D11)</f>
        <v>9.3132259404438145E-9</v>
      </c>
      <c r="F11" t="s">
        <v>23</v>
      </c>
      <c r="G11">
        <v>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Informe de respuestas 1</vt:lpstr>
      <vt:lpstr>Informe de sensibilidad 1</vt:lpstr>
      <vt:lpstr>Informe de límites 1</vt:lpstr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3</cp:revision>
  <dcterms:modified xsi:type="dcterms:W3CDTF">2026-04-08T14:10:08Z</dcterms:modified>
</cp:coreProperties>
</file>