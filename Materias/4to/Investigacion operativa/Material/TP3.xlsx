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511" documentId="11_89FCA63F55AA6E97C9C88A334FFCC6A5FCACE4B7" xr6:coauthVersionLast="47" xr6:coauthVersionMax="47" xr10:uidLastSave="{D0AB4A65-A90C-41C2-8AD6-8AAF560B2E4D}"/>
  <bookViews>
    <workbookView xWindow="10995" yWindow="0" windowWidth="17910" windowHeight="15585" activeTab="7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  <sheet name="Hoja6" sheetId="6" r:id="rId6"/>
    <sheet name="Hoja7" sheetId="7" r:id="rId7"/>
    <sheet name="Hoja8" sheetId="8" r:id="rId8"/>
  </sheets>
  <definedNames>
    <definedName name="solver_adj" localSheetId="0" hidden="1">Hoja1!$B$5:$C$5</definedName>
    <definedName name="solver_adj" localSheetId="1" hidden="1">Hoja2!$B$5:$C$5</definedName>
    <definedName name="solver_adj" localSheetId="2" hidden="1">Hoja3!$B$3:$G$3</definedName>
    <definedName name="solver_adj" localSheetId="3" hidden="1">Hoja4!$B$3:$E$3</definedName>
    <definedName name="solver_adj" localSheetId="4" hidden="1">Hoja5!$B$3:$D$3</definedName>
    <definedName name="solver_adj" localSheetId="5" hidden="1">Hoja6!$B$3:$D$3</definedName>
    <definedName name="solver_adj" localSheetId="6" hidden="1">Hoja7!$B$3:$E$3</definedName>
    <definedName name="solver_cvg" localSheetId="5" hidden="1">0.0001</definedName>
    <definedName name="solver_cvg" localSheetId="6" hidden="1">0.0001</definedName>
    <definedName name="solver_drv" localSheetId="5" hidden="1">1</definedName>
    <definedName name="solver_drv" localSheetId="6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1</definedName>
    <definedName name="solver_eng" localSheetId="5" hidden="1">1</definedName>
    <definedName name="solver_eng" localSheetId="6" hidden="1">1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5" hidden="1">1</definedName>
    <definedName name="solver_est" localSheetId="6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lhs1" localSheetId="0" hidden="1">Hoja1!$D$9</definedName>
    <definedName name="solver_lhs1" localSheetId="1" hidden="1">Hoja2!$D$9</definedName>
    <definedName name="solver_lhs1" localSheetId="2" hidden="1">Hoja3!$H$6</definedName>
    <definedName name="solver_lhs1" localSheetId="3" hidden="1">Hoja4!$F$6</definedName>
    <definedName name="solver_lhs1" localSheetId="4" hidden="1">Hoja5!$E$6</definedName>
    <definedName name="solver_lhs1" localSheetId="5" hidden="1">Hoja6!$E$6</definedName>
    <definedName name="solver_lhs1" localSheetId="6" hidden="1">Hoja7!$F$6</definedName>
    <definedName name="solver_lhs2" localSheetId="0" hidden="1">Hoja1!$D$10</definedName>
    <definedName name="solver_lhs2" localSheetId="1" hidden="1">Hoja2!$D$10</definedName>
    <definedName name="solver_lhs2" localSheetId="2" hidden="1">Hoja3!$H$7</definedName>
    <definedName name="solver_lhs2" localSheetId="3" hidden="1">Hoja4!$F$7</definedName>
    <definedName name="solver_lhs2" localSheetId="4" hidden="1">Hoja5!$E$7</definedName>
    <definedName name="solver_lhs2" localSheetId="5" hidden="1">Hoja6!$E$7</definedName>
    <definedName name="solver_lhs2" localSheetId="6" hidden="1">Hoja7!$F$7</definedName>
    <definedName name="solver_lhs3" localSheetId="1" hidden="1">Hoja2!$D$11</definedName>
    <definedName name="solver_lhs3" localSheetId="2" hidden="1">Hoja3!$H$8</definedName>
    <definedName name="solver_lhs3" localSheetId="3" hidden="1">Hoja4!$F$8</definedName>
    <definedName name="solver_lhs3" localSheetId="4" hidden="1">Hoja5!$E$8</definedName>
    <definedName name="solver_lhs3" localSheetId="5" hidden="1">Hoja6!$E$8</definedName>
    <definedName name="solver_lhs3" localSheetId="6" hidden="1">Hoja7!$F$8</definedName>
    <definedName name="solver_lhs4" localSheetId="3" hidden="1">Hoja4!$F$9</definedName>
    <definedName name="solver_lhs4" localSheetId="6" hidden="1">Hoja7!$F$9</definedName>
    <definedName name="solver_lhs5" localSheetId="3" hidden="1">Hoja4!$F$10</definedName>
    <definedName name="solver_lhs6" localSheetId="3" hidden="1">Hoja4!$F$11</definedName>
    <definedName name="solver_mip" localSheetId="5" hidden="1">2147483647</definedName>
    <definedName name="solver_mip" localSheetId="6" hidden="1">2147483647</definedName>
    <definedName name="solver_mni" localSheetId="5" hidden="1">30</definedName>
    <definedName name="solver_mni" localSheetId="6" hidden="1">30</definedName>
    <definedName name="solver_mrt" localSheetId="5" hidden="1">0.075</definedName>
    <definedName name="solver_mrt" localSheetId="6" hidden="1">0.075</definedName>
    <definedName name="solver_msl" localSheetId="5" hidden="1">2</definedName>
    <definedName name="solver_msl" localSheetId="6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od" localSheetId="5" hidden="1">2147483647</definedName>
    <definedName name="solver_nod" localSheetId="6" hidden="1">2147483647</definedName>
    <definedName name="solver_num" localSheetId="0" hidden="1">2</definedName>
    <definedName name="solver_num" localSheetId="1" hidden="1">3</definedName>
    <definedName name="solver_num" localSheetId="2" hidden="1">3</definedName>
    <definedName name="solver_num" localSheetId="3" hidden="1">6</definedName>
    <definedName name="solver_num" localSheetId="4" hidden="1">3</definedName>
    <definedName name="solver_num" localSheetId="5" hidden="1">3</definedName>
    <definedName name="solver_num" localSheetId="6" hidden="1">4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5" hidden="1">1</definedName>
    <definedName name="solver_nwt" localSheetId="6" hidden="1">1</definedName>
    <definedName name="solver_opt" localSheetId="0" hidden="1">Hoja1!$B$2</definedName>
    <definedName name="solver_opt" localSheetId="1" hidden="1">Hoja2!$B$2</definedName>
    <definedName name="solver_opt" localSheetId="2" hidden="1">Hoja3!$B$1</definedName>
    <definedName name="solver_opt" localSheetId="3" hidden="1">Hoja4!$B$1</definedName>
    <definedName name="solver_opt" localSheetId="4" hidden="1">Hoja5!$B$1</definedName>
    <definedName name="solver_opt" localSheetId="5" hidden="1">Hoja6!$B$1</definedName>
    <definedName name="solver_opt" localSheetId="6" hidden="1">Hoja7!$B$1</definedName>
    <definedName name="solver_pre" localSheetId="0" hidden="1">0</definedName>
    <definedName name="solver_pre" localSheetId="1" hidden="1">0</definedName>
    <definedName name="solver_pre" localSheetId="2" hidden="1">0</definedName>
    <definedName name="solver_pre" localSheetId="3" hidden="1">0</definedName>
    <definedName name="solver_pre" localSheetId="5" hidden="1">0.000001</definedName>
    <definedName name="solver_pre" localSheetId="6" hidden="1">0.000001</definedName>
    <definedName name="solver_rbv" localSheetId="5" hidden="1">1</definedName>
    <definedName name="solver_rbv" localSheetId="6" hidden="1">1</definedName>
    <definedName name="solver_rel1" localSheetId="0" hidden="1">1</definedName>
    <definedName name="solver_rel1" localSheetId="1" hidden="1">1</definedName>
    <definedName name="solver_rel1" localSheetId="2" hidden="1">3</definedName>
    <definedName name="solver_rel1" localSheetId="3" hidden="1">1</definedName>
    <definedName name="solver_rel1" localSheetId="4" hidden="1">1</definedName>
    <definedName name="solver_rel1" localSheetId="5" hidden="1">2</definedName>
    <definedName name="solver_rel1" localSheetId="6" hidden="1">1</definedName>
    <definedName name="solver_rel2" localSheetId="0" hidden="1">2</definedName>
    <definedName name="solver_rel2" localSheetId="1" hidden="1">1</definedName>
    <definedName name="solver_rel2" localSheetId="2" hidden="1">3</definedName>
    <definedName name="solver_rel2" localSheetId="3" hidden="1">1</definedName>
    <definedName name="solver_rel2" localSheetId="4" hidden="1">3</definedName>
    <definedName name="solver_rel2" localSheetId="5" hidden="1">2</definedName>
    <definedName name="solver_rel2" localSheetId="6" hidden="1">1</definedName>
    <definedName name="solver_rel3" localSheetId="1" hidden="1">1</definedName>
    <definedName name="solver_rel3" localSheetId="2" hidden="1">3</definedName>
    <definedName name="solver_rel3" localSheetId="3" hidden="1">1</definedName>
    <definedName name="solver_rel3" localSheetId="4" hidden="1">3</definedName>
    <definedName name="solver_rel3" localSheetId="5" hidden="1">2</definedName>
    <definedName name="solver_rel3" localSheetId="6" hidden="1">1</definedName>
    <definedName name="solver_rel4" localSheetId="3" hidden="1">1</definedName>
    <definedName name="solver_rel4" localSheetId="6" hidden="1">1</definedName>
    <definedName name="solver_rel5" localSheetId="3" hidden="1">2</definedName>
    <definedName name="solver_rel6" localSheetId="3" hidden="1">2</definedName>
    <definedName name="solver_rhs1" localSheetId="0" hidden="1">Hoja1!$F$9</definedName>
    <definedName name="solver_rhs1" localSheetId="1" hidden="1">Hoja2!$F$9</definedName>
    <definedName name="solver_rhs1" localSheetId="2" hidden="1">Hoja3!$J$6</definedName>
    <definedName name="solver_rhs1" localSheetId="3" hidden="1">Hoja4!$H$6</definedName>
    <definedName name="solver_rhs1" localSheetId="4" hidden="1">Hoja5!$G$6</definedName>
    <definedName name="solver_rhs1" localSheetId="5" hidden="1">Hoja6!$G$6</definedName>
    <definedName name="solver_rhs1" localSheetId="6" hidden="1">Hoja7!$H$6</definedName>
    <definedName name="solver_rhs2" localSheetId="0" hidden="1">Hoja1!$F$10</definedName>
    <definedName name="solver_rhs2" localSheetId="1" hidden="1">Hoja2!$F$10</definedName>
    <definedName name="solver_rhs2" localSheetId="2" hidden="1">Hoja3!$J$7</definedName>
    <definedName name="solver_rhs2" localSheetId="3" hidden="1">Hoja4!$H$7</definedName>
    <definedName name="solver_rhs2" localSheetId="4" hidden="1">Hoja5!$G$7</definedName>
    <definedName name="solver_rhs2" localSheetId="5" hidden="1">Hoja6!$G$7</definedName>
    <definedName name="solver_rhs2" localSheetId="6" hidden="1">Hoja7!$H$7</definedName>
    <definedName name="solver_rhs3" localSheetId="1" hidden="1">Hoja2!$F$11</definedName>
    <definedName name="solver_rhs3" localSheetId="2" hidden="1">Hoja3!$J$8</definedName>
    <definedName name="solver_rhs3" localSheetId="3" hidden="1">Hoja4!$H$8</definedName>
    <definedName name="solver_rhs3" localSheetId="4" hidden="1">Hoja5!$G$8</definedName>
    <definedName name="solver_rhs3" localSheetId="5" hidden="1">Hoja6!$G$8</definedName>
    <definedName name="solver_rhs3" localSheetId="6" hidden="1">Hoja7!$H$8</definedName>
    <definedName name="solver_rhs4" localSheetId="3" hidden="1">Hoja4!$H$9</definedName>
    <definedName name="solver_rhs4" localSheetId="6" hidden="1">Hoja7!$H$9</definedName>
    <definedName name="solver_rhs5" localSheetId="3" hidden="1">Hoja4!$H$10</definedName>
    <definedName name="solver_rhs6" localSheetId="3" hidden="1">Hoja4!$H$11</definedName>
    <definedName name="solver_rlx" localSheetId="5" hidden="1">2</definedName>
    <definedName name="solver_rlx" localSheetId="6" hidden="1">2</definedName>
    <definedName name="solver_rsd" localSheetId="5" hidden="1">0</definedName>
    <definedName name="solver_rsd" localSheetId="6" hidden="1">0</definedName>
    <definedName name="solver_scl" localSheetId="0" hidden="1">2</definedName>
    <definedName name="solver_scl" localSheetId="1" hidden="1">2</definedName>
    <definedName name="solver_scl" localSheetId="2" hidden="1">2</definedName>
    <definedName name="solver_scl" localSheetId="3" hidden="1">2</definedName>
    <definedName name="solver_scl" localSheetId="5" hidden="1">1</definedName>
    <definedName name="solver_scl" localSheetId="6" hidden="1">1</definedName>
    <definedName name="solver_sho" localSheetId="5" hidden="1">2</definedName>
    <definedName name="solver_sho" localSheetId="6" hidden="1">2</definedName>
    <definedName name="solver_ssz" localSheetId="5" hidden="1">100</definedName>
    <definedName name="solver_ssz" localSheetId="6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ol" localSheetId="5" hidden="1">0.01</definedName>
    <definedName name="solver_tol" localSheetId="6" hidden="1">0.01</definedName>
    <definedName name="solver_typ" localSheetId="0" hidden="1">2</definedName>
    <definedName name="solver_typ" localSheetId="1" hidden="1">1</definedName>
    <definedName name="solver_typ" localSheetId="2" hidden="1">2</definedName>
    <definedName name="solver_typ" localSheetId="3" hidden="1">1</definedName>
    <definedName name="solver_typ" localSheetId="4" hidden="1">1</definedName>
    <definedName name="solver_typ" localSheetId="5" hidden="1">2</definedName>
    <definedName name="solver_typ" localSheetId="6" hidden="1">1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7" l="1"/>
  <c r="F9" i="7"/>
  <c r="F8" i="7"/>
  <c r="F7" i="7"/>
  <c r="F6" i="7"/>
  <c r="E8" i="6"/>
  <c r="E7" i="6"/>
  <c r="E6" i="6"/>
  <c r="B1" i="6"/>
  <c r="E8" i="5"/>
  <c r="B1" i="5"/>
  <c r="E7" i="5"/>
  <c r="E6" i="5"/>
  <c r="H8" i="3"/>
  <c r="H7" i="3"/>
  <c r="H6" i="3"/>
  <c r="B1" i="3"/>
  <c r="D11" i="2"/>
  <c r="D10" i="2"/>
  <c r="D9" i="2"/>
  <c r="B2" i="2"/>
  <c r="D10" i="1"/>
  <c r="D9" i="1"/>
  <c r="B2" i="1"/>
  <c r="F11" i="4"/>
  <c r="F10" i="4"/>
  <c r="F9" i="4"/>
  <c r="F8" i="4"/>
  <c r="F7" i="4"/>
  <c r="F6" i="4"/>
  <c r="B1" i="4"/>
</calcChain>
</file>

<file path=xl/sharedStrings.xml><?xml version="1.0" encoding="utf-8"?>
<sst xmlns="http://schemas.openxmlformats.org/spreadsheetml/2006/main" count="84" uniqueCount="39">
  <si>
    <t xml:space="preserve"> Costo</t>
  </si>
  <si>
    <t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</si>
  <si>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</si>
  <si>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</si>
  <si>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</si>
  <si>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</si>
  <si>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</si>
  <si>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</si>
  <si>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</si>
  <si>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</si>
  <si>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</si>
  <si>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</si>
  <si>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</si>
  <si>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</si>
  <si>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</si>
  <si>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</si>
  <si>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</si>
  <si>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</si>
  <si>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</si>
  <si>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</si>
  <si>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</si>
  <si>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</si>
  <si>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</si>
  <si>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</si>
  <si>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</si>
  <si>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</si>
  <si>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</si>
  <si>
    <t>Ganancias</t>
  </si>
  <si>
    <t>Carne</t>
  </si>
  <si>
    <t>L</t>
  </si>
  <si>
    <t>Barriles</t>
  </si>
  <si>
    <t>Restrricciones</t>
  </si>
  <si>
    <t>NR</t>
  </si>
  <si>
    <t>IR</t>
  </si>
  <si>
    <t>NE</t>
  </si>
  <si>
    <t>IE</t>
  </si>
  <si>
    <t>?</t>
  </si>
  <si>
    <t>Servicios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</si>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</sst>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0"/>
  <sheetViews>
    <sheetView workbookViewId="0"/>
  </sheetViews>
  <sheetFormatPr baseColWidth="10" defaultColWidth="9.140625" defaultRowHeight="15" x14ac:dyDescent="0.25"/>
  <cols>
    <col min="1" max="1" width="15" customWidth="1"/>
  </cols>
  <sheetData>
    <row r="2" spans="1:6" x14ac:dyDescent="0.25">
      <c r="A2" t="s">
        <v>0</v>
      </c>
      <c r="B2">
        <f>B5*B6+C5*C6</f>
        <v>716.66666666666742</v>
      </c>
    </row>
    <row r="4" spans="1:6" x14ac:dyDescent="0.25">
      <c r="A4" t="s">
        <v>1</v>
      </c>
      <c r="B4" t="s">
        <v>2</v>
      </c>
      <c r="C4" t="s">
        <v>3</v>
      </c>
    </row>
    <row r="5" spans="1:6" x14ac:dyDescent="0.25">
      <c r="A5" t="s">
        <v>4</v>
      </c>
      <c r="B5">
        <v>0.58333333333333404</v>
      </c>
      <c r="C5">
        <v>0.41666666666666702</v>
      </c>
    </row>
    <row r="6" spans="1:6" x14ac:dyDescent="0.25">
      <c r="A6" t="s">
        <v>5</v>
      </c>
      <c r="B6">
        <v>800</v>
      </c>
      <c r="C6">
        <v>600</v>
      </c>
    </row>
    <row r="8" spans="1:6" x14ac:dyDescent="0.25">
      <c r="A8" t="s">
        <v>6</v>
      </c>
      <c r="D8" t="s">
        <v>7</v>
      </c>
    </row>
    <row r="9" spans="1:6" x14ac:dyDescent="0.25">
      <c r="A9" t="s">
        <v>8</v>
      </c>
      <c r="B9">
        <v>0.2</v>
      </c>
      <c r="C9">
        <v>0.32</v>
      </c>
      <c r="D9">
        <f>B5*B9+C5*C9</f>
        <v>0.25000000000000022</v>
      </c>
      <c r="E9" t="s">
        <v>9</v>
      </c>
      <c r="F9">
        <v>0.25</v>
      </c>
    </row>
    <row r="10" spans="1:6" x14ac:dyDescent="0.25">
      <c r="B10">
        <v>1</v>
      </c>
      <c r="C10">
        <v>1</v>
      </c>
      <c r="D10">
        <f>B5*B10+C5*C10</f>
        <v>1.0000000000000011</v>
      </c>
      <c r="E10" t="s">
        <v>10</v>
      </c>
      <c r="F10">
        <v>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1"/>
  <sheetViews>
    <sheetView workbookViewId="0"/>
  </sheetViews>
  <sheetFormatPr baseColWidth="10" defaultColWidth="9.140625" defaultRowHeight="15" x14ac:dyDescent="0.25"/>
  <cols>
    <col min="1" max="1" width="12.7109375" customWidth="1"/>
  </cols>
  <sheetData>
    <row r="2" spans="1:6" x14ac:dyDescent="0.25">
      <c r="A2" t="s">
        <v>11</v>
      </c>
      <c r="B2">
        <f>B5*B6+C5*C6</f>
        <v>180</v>
      </c>
    </row>
    <row r="4" spans="1:6" x14ac:dyDescent="0.25">
      <c r="A4" t="s">
        <v>12</v>
      </c>
      <c r="B4" t="s">
        <v>13</v>
      </c>
      <c r="C4" t="s">
        <v>14</v>
      </c>
    </row>
    <row r="5" spans="1:6" x14ac:dyDescent="0.25">
      <c r="B5">
        <v>20</v>
      </c>
      <c r="C5">
        <v>60</v>
      </c>
    </row>
    <row r="6" spans="1:6" x14ac:dyDescent="0.25">
      <c r="A6" t="s">
        <v>15</v>
      </c>
      <c r="B6">
        <v>3</v>
      </c>
      <c r="C6">
        <v>2</v>
      </c>
    </row>
    <row r="8" spans="1:6" x14ac:dyDescent="0.25">
      <c r="A8" t="s">
        <v>6</v>
      </c>
    </row>
    <row r="9" spans="1:6" x14ac:dyDescent="0.25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 spans="1:6" x14ac:dyDescent="0.25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 spans="1:6" x14ac:dyDescent="0.25">
      <c r="B11">
        <v>1</v>
      </c>
      <c r="D11">
        <f>B5*B11</f>
        <v>20</v>
      </c>
      <c r="E11" t="s">
        <v>9</v>
      </c>
      <c r="F11">
        <v>40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workbookViewId="0"/>
  </sheetViews>
  <sheetFormatPr baseColWidth="10" defaultColWidth="9.140625" defaultRowHeight="15" x14ac:dyDescent="0.25"/>
  <sheetData>
    <row r="1" spans="1:10" x14ac:dyDescent="0.25">
      <c r="A1" t="s">
        <v>16</v>
      </c>
      <c r="B1">
        <f>SUMPRODUCT(B3:G3,B4:G4)</f>
        <v>7.2727272727272751</v>
      </c>
    </row>
    <row r="2" spans="1:10" x14ac:dyDescent="0.25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 spans="1:10" x14ac:dyDescent="0.25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 spans="1:10" x14ac:dyDescent="0.25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 spans="1:10" x14ac:dyDescent="0.25">
      <c r="A5" t="s">
        <v>16</v>
      </c>
    </row>
    <row r="6" spans="1:10" x14ac:dyDescent="0.25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 spans="1:10" x14ac:dyDescent="0.25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 spans="1:10" x14ac:dyDescent="0.25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/>
  </sheetViews>
  <sheetFormatPr baseColWidth="10" defaultColWidth="9.140625" defaultRowHeight="15" x14ac:dyDescent="0.25"/>
  <sheetData>
    <row r="1" spans="1:8" x14ac:dyDescent="0.25">
      <c r="A1" t="s">
        <v>24</v>
      </c>
      <c r="B1">
        <f>SUMPRODUCT(B3:E3,B4:E4)</f>
        <v>1250000</v>
      </c>
    </row>
    <row r="2" spans="1:8" x14ac:dyDescent="0.25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 spans="1:8" x14ac:dyDescent="0.25">
      <c r="B3">
        <v>50.000000000000014</v>
      </c>
      <c r="C3">
        <v>0</v>
      </c>
      <c r="D3">
        <v>145</v>
      </c>
      <c r="E3">
        <v>10.000000000000004</v>
      </c>
    </row>
    <row r="4" spans="1:8" x14ac:dyDescent="0.25">
      <c r="B4">
        <v>6000</v>
      </c>
      <c r="C4">
        <v>4000</v>
      </c>
      <c r="D4">
        <v>6000</v>
      </c>
      <c r="E4">
        <v>8000</v>
      </c>
    </row>
    <row r="5" spans="1:8" x14ac:dyDescent="0.25">
      <c r="A5" t="s">
        <v>6</v>
      </c>
    </row>
    <row r="6" spans="1:8" x14ac:dyDescent="0.25">
      <c r="B6">
        <v>3</v>
      </c>
      <c r="C6">
        <v>2</v>
      </c>
      <c r="D6">
        <v>2</v>
      </c>
      <c r="E6">
        <v>4</v>
      </c>
      <c r="F6">
        <f>SUMPRODUCT(B3:E3,B6:E6)</f>
        <v>480.00000000000006</v>
      </c>
      <c r="G6" t="s">
        <v>26</v>
      </c>
      <c r="H6">
        <v>480</v>
      </c>
    </row>
    <row r="7" spans="1:8" x14ac:dyDescent="0.25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 spans="1:8" x14ac:dyDescent="0.25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 spans="1:8" x14ac:dyDescent="0.25">
      <c r="E9">
        <v>1</v>
      </c>
      <c r="F9">
        <f>E3*E9</f>
        <v>10.000000000000004</v>
      </c>
      <c r="G9" t="s">
        <v>26</v>
      </c>
      <c r="H9">
        <v>25</v>
      </c>
    </row>
    <row r="10" spans="1:8" x14ac:dyDescent="0.25">
      <c r="B10">
        <v>1</v>
      </c>
      <c r="F10">
        <f>B3*B10</f>
        <v>50.000000000000014</v>
      </c>
      <c r="G10" t="s">
        <v>10</v>
      </c>
      <c r="H10">
        <v>50</v>
      </c>
    </row>
    <row r="11" spans="1:8" x14ac:dyDescent="0.25">
      <c r="B11">
        <v>1</v>
      </c>
      <c r="C11">
        <v>1</v>
      </c>
      <c r="D11">
        <v>1</v>
      </c>
      <c r="F11">
        <f>SUMPRODUCT(B3:D3,B11:D11)</f>
        <v>195</v>
      </c>
      <c r="G11" t="s">
        <v>10</v>
      </c>
      <c r="H11">
        <v>100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2B7-B628-469A-96AE-572BC7342D70}">
  <dimension ref="A1:G8"/>
  <sheetViews>
    <sheetView workbookViewId="0">
      <selection activeCell="E8" sqref="E8"/>
    </sheetView>
  </sheetViews>
  <sheetFormatPr baseColWidth="10" defaultRowHeight="15" x14ac:dyDescent="0.25"/>
  <sheetData>
    <row r="1" spans="1:7" x14ac:dyDescent="0.25">
      <c r="A1" s="1" t="s">
        <v>27</v>
      </c>
      <c r="B1">
        <f>SUMPRODUCT(B3:D3,B4:D4)</f>
        <v>40000</v>
      </c>
    </row>
    <row r="2" spans="1:7" x14ac:dyDescent="0.25">
      <c r="A2" s="1" t="s">
        <v>25</v>
      </c>
      <c r="B2" s="1" t="s">
        <v>18</v>
      </c>
      <c r="C2" s="1" t="s">
        <v>19</v>
      </c>
      <c r="D2" s="1" t="s">
        <v>3</v>
      </c>
    </row>
    <row r="3" spans="1:7" x14ac:dyDescent="0.25">
      <c r="B3">
        <v>11.428571428571429</v>
      </c>
      <c r="C3">
        <v>5.7142857142857144</v>
      </c>
      <c r="D3">
        <v>5.7142857142857144</v>
      </c>
    </row>
    <row r="4" spans="1:7" x14ac:dyDescent="0.25">
      <c r="B4">
        <v>700</v>
      </c>
      <c r="C4">
        <v>2100</v>
      </c>
      <c r="D4">
        <v>3500</v>
      </c>
    </row>
    <row r="5" spans="1:7" x14ac:dyDescent="0.25">
      <c r="A5" s="1" t="s">
        <v>6</v>
      </c>
    </row>
    <row r="6" spans="1:7" x14ac:dyDescent="0.25">
      <c r="B6">
        <v>1</v>
      </c>
      <c r="C6">
        <v>2</v>
      </c>
      <c r="D6">
        <v>3</v>
      </c>
      <c r="E6">
        <f>SUMPRODUCT(B3:D3,B6:D6)</f>
        <v>40</v>
      </c>
      <c r="F6" s="1" t="s">
        <v>9</v>
      </c>
      <c r="G6" s="1">
        <v>40</v>
      </c>
    </row>
    <row r="7" spans="1:7" x14ac:dyDescent="0.25">
      <c r="B7">
        <v>1</v>
      </c>
      <c r="C7">
        <v>-2</v>
      </c>
      <c r="E7">
        <f>SUMPRODUCT(B3:C3,B7:C7)</f>
        <v>0</v>
      </c>
      <c r="F7" s="1" t="s">
        <v>23</v>
      </c>
      <c r="G7">
        <v>0</v>
      </c>
    </row>
    <row r="8" spans="1:7" x14ac:dyDescent="0.25">
      <c r="C8">
        <v>1</v>
      </c>
      <c r="D8">
        <v>-1</v>
      </c>
      <c r="E8">
        <f>SUMPRODUCT(C3:D3,C8:D8)</f>
        <v>0</v>
      </c>
      <c r="F8" s="1" t="s">
        <v>23</v>
      </c>
      <c r="G8">
        <v>0</v>
      </c>
    </row>
  </sheetData>
  <pageMargins left="0.7" right="0.7" top="0.75" bottom="0.75" header="0.3" footer="0.3"/>
  <ignoredErrors>
    <ignoredError sqref="E7:E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7A058-7B66-4047-8F0A-EA5D43949925}">
  <dimension ref="A1:G8"/>
  <sheetViews>
    <sheetView workbookViewId="0">
      <selection activeCell="B1" sqref="B1"/>
    </sheetView>
  </sheetViews>
  <sheetFormatPr baseColWidth="10" defaultRowHeight="15" x14ac:dyDescent="0.25"/>
  <sheetData>
    <row r="1" spans="1:7" x14ac:dyDescent="0.25">
      <c r="A1" s="1" t="s">
        <v>24</v>
      </c>
      <c r="B1">
        <f>SUMPRODUCT(B3:D3,B4:D4)</f>
        <v>1255.0000021999999</v>
      </c>
    </row>
    <row r="2" spans="1:7" x14ac:dyDescent="0.25">
      <c r="A2" s="1" t="s">
        <v>28</v>
      </c>
      <c r="B2" s="1" t="s">
        <v>22</v>
      </c>
      <c r="C2" s="1" t="s">
        <v>29</v>
      </c>
      <c r="D2" s="1" t="s">
        <v>3</v>
      </c>
    </row>
    <row r="3" spans="1:7" x14ac:dyDescent="0.25">
      <c r="B3">
        <v>200.000001</v>
      </c>
      <c r="C3">
        <v>800.000001</v>
      </c>
      <c r="D3">
        <v>150.000001</v>
      </c>
    </row>
    <row r="4" spans="1:7" x14ac:dyDescent="0.25">
      <c r="B4">
        <v>0.3</v>
      </c>
      <c r="C4">
        <v>1.4</v>
      </c>
      <c r="D4">
        <v>0.5</v>
      </c>
    </row>
    <row r="5" spans="1:7" x14ac:dyDescent="0.25">
      <c r="A5" s="1" t="s">
        <v>6</v>
      </c>
    </row>
    <row r="6" spans="1:7" x14ac:dyDescent="0.25">
      <c r="B6">
        <v>1</v>
      </c>
      <c r="E6">
        <f>B3*B6</f>
        <v>200.000001</v>
      </c>
      <c r="F6" s="1" t="s">
        <v>10</v>
      </c>
      <c r="G6">
        <v>200</v>
      </c>
    </row>
    <row r="7" spans="1:7" x14ac:dyDescent="0.25">
      <c r="C7">
        <v>1</v>
      </c>
      <c r="E7">
        <f>C3*C7</f>
        <v>800.000001</v>
      </c>
      <c r="F7" s="1" t="s">
        <v>10</v>
      </c>
      <c r="G7">
        <v>800</v>
      </c>
    </row>
    <row r="8" spans="1:7" x14ac:dyDescent="0.25">
      <c r="D8">
        <v>1</v>
      </c>
      <c r="E8">
        <f>D3*D8</f>
        <v>150.000001</v>
      </c>
      <c r="F8" s="1" t="s">
        <v>10</v>
      </c>
      <c r="G8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EE52C-5C57-4D5C-BDBD-8B72D286EB32}">
  <dimension ref="A1:H9"/>
  <sheetViews>
    <sheetView workbookViewId="0">
      <selection activeCell="B1" sqref="B1"/>
    </sheetView>
  </sheetViews>
  <sheetFormatPr baseColWidth="10" defaultRowHeight="15" x14ac:dyDescent="0.25"/>
  <sheetData>
    <row r="1" spans="1:8" x14ac:dyDescent="0.25">
      <c r="A1" s="1" t="s">
        <v>11</v>
      </c>
      <c r="B1">
        <f>SUMPRODUCT(B3:E3,B4:E4)</f>
        <v>33907636547.368427</v>
      </c>
    </row>
    <row r="2" spans="1:8" x14ac:dyDescent="0.25">
      <c r="A2" s="1" t="s">
        <v>30</v>
      </c>
      <c r="B2" s="1" t="s">
        <v>32</v>
      </c>
      <c r="C2" s="1" t="s">
        <v>33</v>
      </c>
      <c r="D2" s="1" t="s">
        <v>34</v>
      </c>
      <c r="E2" s="1" t="s">
        <v>35</v>
      </c>
    </row>
    <row r="3" spans="1:8" x14ac:dyDescent="0.25">
      <c r="B3">
        <v>0</v>
      </c>
      <c r="C3">
        <v>0</v>
      </c>
      <c r="D3">
        <v>7064090.9473684216</v>
      </c>
      <c r="E3">
        <v>8476909.1368421055</v>
      </c>
    </row>
    <row r="4" spans="1:8" x14ac:dyDescent="0.25">
      <c r="B4">
        <v>4000</v>
      </c>
      <c r="C4">
        <v>-3000</v>
      </c>
      <c r="D4">
        <v>6000</v>
      </c>
      <c r="E4">
        <v>-1000</v>
      </c>
    </row>
    <row r="5" spans="1:8" x14ac:dyDescent="0.25">
      <c r="A5" s="1" t="s">
        <v>31</v>
      </c>
    </row>
    <row r="6" spans="1:8" x14ac:dyDescent="0.25">
      <c r="B6">
        <v>1</v>
      </c>
      <c r="C6">
        <v>1</v>
      </c>
      <c r="F6">
        <f>SUMPRODUCT(B3:C3,B6:C6)</f>
        <v>0</v>
      </c>
      <c r="G6" s="1" t="s">
        <v>9</v>
      </c>
      <c r="H6">
        <v>0</v>
      </c>
    </row>
    <row r="7" spans="1:8" x14ac:dyDescent="0.25">
      <c r="D7">
        <v>6</v>
      </c>
      <c r="E7">
        <v>-5</v>
      </c>
      <c r="F7">
        <f>SUMPRODUCT(D3:E3,D7:E7)</f>
        <v>7.4505805969238281E-9</v>
      </c>
      <c r="G7" s="1" t="s">
        <v>9</v>
      </c>
      <c r="H7">
        <v>0</v>
      </c>
    </row>
    <row r="8" spans="1:8" x14ac:dyDescent="0.25">
      <c r="B8">
        <v>2</v>
      </c>
      <c r="C8">
        <v>-8</v>
      </c>
      <c r="F8">
        <f>SUMPRODUCT(B3:C3,B8:C8)</f>
        <v>0</v>
      </c>
      <c r="G8" s="1" t="s">
        <v>9</v>
      </c>
      <c r="H8">
        <v>0</v>
      </c>
    </row>
    <row r="9" spans="1:8" x14ac:dyDescent="0.25">
      <c r="D9">
        <v>2</v>
      </c>
      <c r="E9">
        <v>-8</v>
      </c>
      <c r="F9">
        <f>SUMPRODUCT(D3:E3,D9:E9)</f>
        <v>-53687091.200000003</v>
      </c>
      <c r="G9" s="1" t="s">
        <v>9</v>
      </c>
      <c r="H9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99C5-62BA-4458-915A-A99270222596}">
  <dimension ref="A1:G9"/>
  <sheetViews>
    <sheetView tabSelected="1" workbookViewId="0">
      <selection activeCell="B10" sqref="B10"/>
    </sheetView>
  </sheetViews>
  <sheetFormatPr baseColWidth="10" defaultRowHeight="15" x14ac:dyDescent="0.25"/>
  <sheetData>
    <row r="1" spans="1:7" x14ac:dyDescent="0.25">
      <c r="A1" s="1" t="s">
        <v>36</v>
      </c>
    </row>
    <row r="2" spans="1:7" x14ac:dyDescent="0.25">
      <c r="A2" s="1" t="s">
        <v>37</v>
      </c>
      <c r="B2" s="1" t="s">
        <v>14</v>
      </c>
      <c r="C2" s="1" t="s">
        <v>2</v>
      </c>
      <c r="D2" s="1" t="s">
        <v>38</v>
      </c>
    </row>
    <row r="4" spans="1:7" x14ac:dyDescent="0.25">
      <c r="B4">
        <v>100000</v>
      </c>
      <c r="C4">
        <v>18000</v>
      </c>
      <c r="D4">
        <v>40000</v>
      </c>
    </row>
    <row r="5" spans="1:7" x14ac:dyDescent="0.25">
      <c r="A5" s="1" t="s">
        <v>6</v>
      </c>
    </row>
    <row r="6" spans="1:7" x14ac:dyDescent="0.25">
      <c r="B6">
        <v>20000</v>
      </c>
      <c r="C6">
        <v>3000</v>
      </c>
      <c r="D6">
        <v>6000</v>
      </c>
      <c r="F6" s="1" t="s">
        <v>9</v>
      </c>
      <c r="G6" s="1">
        <v>18500</v>
      </c>
    </row>
    <row r="7" spans="1:7" x14ac:dyDescent="0.25">
      <c r="B7">
        <v>1</v>
      </c>
      <c r="F7" s="1" t="s">
        <v>9</v>
      </c>
      <c r="G7">
        <v>10</v>
      </c>
    </row>
    <row r="8" spans="1:7" x14ac:dyDescent="0.25">
      <c r="C8">
        <v>1</v>
      </c>
      <c r="F8" s="1" t="s">
        <v>9</v>
      </c>
      <c r="G8">
        <v>20</v>
      </c>
    </row>
    <row r="9" spans="1:7" x14ac:dyDescent="0.25">
      <c r="D9">
        <v>1</v>
      </c>
      <c r="F9" s="1" t="s">
        <v>9</v>
      </c>
      <c r="G9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Hoja2</vt:lpstr>
      <vt:lpstr>Hoja3</vt:lpstr>
      <vt:lpstr>Hoja4</vt:lpstr>
      <vt:lpstr>Hoja5</vt:lpstr>
      <vt:lpstr>Hoja6</vt:lpstr>
      <vt:lpstr>Hoja7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 Sagues</cp:lastModifiedBy>
  <cp:revision>2</cp:revision>
  <dcterms:modified xsi:type="dcterms:W3CDTF">2026-03-28T14:24:04Z</dcterms:modified>
</cp:coreProperties>
</file>