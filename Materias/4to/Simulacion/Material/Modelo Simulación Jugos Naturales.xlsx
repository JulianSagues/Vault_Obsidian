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530"/>
  </bookViews>
  <sheets>
    <sheet name="Hoja1" sheetId="1" r:id="rId1"/>
    <sheet name="Hoja2" sheetId="2" r:id="rId2"/>
    <sheet name="Hoja3" sheetId="3" r:id="rId3"/>
  </sheets>
  <calcPr calcId="162913"/>
</workbook>
</file>

<file path=xl/calcChain.xml><?xml version="1.0" encoding="utf-8"?>
<calcChain xmlns="http://schemas.openxmlformats.org/spreadsheetml/2006/main">
  <c r="E9" i="1" l="1"/>
  <c r="C6" i="1" l="1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6" i="1"/>
  <c r="E6" i="1" l="1"/>
  <c r="D6" i="1" l="1"/>
  <c r="E7" i="1" s="1"/>
  <c r="C7" i="1" s="1"/>
  <c r="D7" i="1" l="1"/>
  <c r="E8" i="1" l="1"/>
  <c r="C8" i="1" s="1"/>
  <c r="D8" i="1" l="1"/>
  <c r="D9" i="1" l="1"/>
  <c r="E10" i="1" s="1"/>
  <c r="C9" i="1"/>
  <c r="D10" i="1" l="1"/>
  <c r="C10" i="1"/>
  <c r="E11" i="1" l="1"/>
  <c r="C11" i="1" s="1"/>
  <c r="D11" i="1" l="1"/>
  <c r="E12" i="1" s="1"/>
  <c r="C12" i="1" s="1"/>
  <c r="E13" i="1" l="1"/>
  <c r="C13" i="1" s="1"/>
  <c r="D12" i="1"/>
  <c r="D13" i="1" l="1"/>
  <c r="E14" i="1" s="1"/>
  <c r="C14" i="1" s="1"/>
  <c r="D14" i="1" l="1"/>
  <c r="E15" i="1" s="1"/>
  <c r="D15" i="1" l="1"/>
  <c r="C15" i="1"/>
  <c r="E16" i="1" l="1"/>
  <c r="D16" i="1" s="1"/>
  <c r="C16" i="1" l="1"/>
  <c r="E17" i="1"/>
  <c r="D17" i="1" l="1"/>
  <c r="C17" i="1"/>
  <c r="E18" i="1" l="1"/>
  <c r="C18" i="1" l="1"/>
  <c r="D18" i="1"/>
  <c r="E19" i="1" l="1"/>
  <c r="D19" i="1" s="1"/>
  <c r="C19" i="1" l="1"/>
  <c r="E20" i="1" s="1"/>
  <c r="D20" i="1" s="1"/>
  <c r="C20" i="1" l="1"/>
  <c r="E21" i="1" s="1"/>
  <c r="D21" i="1"/>
  <c r="C21" i="1"/>
  <c r="E22" i="1" s="1"/>
  <c r="D22" i="1" l="1"/>
  <c r="C22" i="1"/>
  <c r="E23" i="1"/>
  <c r="D23" i="1" l="1"/>
  <c r="C23" i="1"/>
  <c r="E24" i="1" s="1"/>
  <c r="D24" i="1" l="1"/>
  <c r="C24" i="1"/>
  <c r="E25" i="1" l="1"/>
  <c r="D25" i="1" s="1"/>
  <c r="C25" i="1" l="1"/>
  <c r="E26" i="1" s="1"/>
  <c r="D26" i="1" l="1"/>
  <c r="C26" i="1"/>
  <c r="E27" i="1" l="1"/>
  <c r="D27" i="1" l="1"/>
  <c r="C27" i="1"/>
  <c r="E28" i="1" s="1"/>
  <c r="D28" i="1" l="1"/>
  <c r="C28" i="1"/>
  <c r="E29" i="1" s="1"/>
  <c r="C29" i="1" l="1"/>
  <c r="D29" i="1"/>
  <c r="E30" i="1" l="1"/>
  <c r="C30" i="1"/>
  <c r="D30" i="1"/>
  <c r="E31" i="1" s="1"/>
  <c r="C31" i="1" l="1"/>
  <c r="D31" i="1"/>
  <c r="E32" i="1" s="1"/>
  <c r="D32" i="1" l="1"/>
  <c r="C32" i="1"/>
  <c r="E33" i="1"/>
  <c r="C33" i="1" l="1"/>
  <c r="D33" i="1"/>
  <c r="E34" i="1" l="1"/>
  <c r="D34" i="1" l="1"/>
  <c r="C34" i="1"/>
  <c r="E35" i="1" s="1"/>
  <c r="C35" i="1" l="1"/>
  <c r="D35" i="1"/>
  <c r="E36" i="1" s="1"/>
  <c r="D36" i="1" l="1"/>
  <c r="C36" i="1"/>
  <c r="E37" i="1" s="1"/>
  <c r="C37" i="1" l="1"/>
  <c r="D37" i="1"/>
  <c r="E38" i="1" s="1"/>
  <c r="C38" i="1" l="1"/>
  <c r="D38" i="1"/>
  <c r="E39" i="1" s="1"/>
  <c r="D39" i="1" l="1"/>
  <c r="C39" i="1"/>
  <c r="E40" i="1" s="1"/>
  <c r="D40" i="1" l="1"/>
  <c r="C40" i="1"/>
  <c r="E41" i="1"/>
  <c r="D41" i="1"/>
  <c r="C41" i="1"/>
  <c r="E42" i="1" l="1"/>
  <c r="C42" i="1"/>
  <c r="D42" i="1"/>
  <c r="E43" i="1" l="1"/>
  <c r="C43" i="1" l="1"/>
  <c r="D43" i="1"/>
  <c r="E44" i="1"/>
  <c r="D44" i="1" l="1"/>
  <c r="C44" i="1"/>
  <c r="E45" i="1" s="1"/>
  <c r="C45" i="1" l="1"/>
  <c r="D45" i="1"/>
  <c r="E46" i="1" l="1"/>
  <c r="D46" i="1" l="1"/>
  <c r="C46" i="1"/>
  <c r="E47" i="1" s="1"/>
  <c r="C47" i="1" l="1"/>
  <c r="D47" i="1"/>
  <c r="E48" i="1" s="1"/>
  <c r="D48" i="1" l="1"/>
  <c r="C48" i="1"/>
  <c r="E49" i="1" s="1"/>
  <c r="D49" i="1" l="1"/>
  <c r="C49" i="1"/>
  <c r="E50" i="1" s="1"/>
  <c r="D50" i="1" l="1"/>
  <c r="C50" i="1"/>
  <c r="E51" i="1" l="1"/>
  <c r="D51" i="1" s="1"/>
  <c r="C51" i="1" l="1"/>
  <c r="E52" i="1" s="1"/>
  <c r="D52" i="1" l="1"/>
  <c r="C52" i="1"/>
  <c r="E53" i="1" s="1"/>
  <c r="D53" i="1" s="1"/>
  <c r="C53" i="1" l="1"/>
  <c r="E54" i="1" s="1"/>
  <c r="D54" i="1"/>
  <c r="C54" i="1"/>
  <c r="E55" i="1" s="1"/>
  <c r="D55" i="1" l="1"/>
  <c r="C55" i="1"/>
  <c r="E56" i="1" s="1"/>
  <c r="D56" i="1" l="1"/>
  <c r="C56" i="1"/>
  <c r="E57" i="1"/>
  <c r="D57" i="1" l="1"/>
  <c r="C57" i="1"/>
  <c r="E58" i="1" s="1"/>
  <c r="C58" i="1" l="1"/>
  <c r="D58" i="1"/>
  <c r="E59" i="1" l="1"/>
  <c r="C59" i="1" l="1"/>
  <c r="D59" i="1"/>
  <c r="E60" i="1" l="1"/>
  <c r="D60" i="1" l="1"/>
  <c r="C60" i="1"/>
  <c r="E61" i="1"/>
  <c r="C61" i="1" l="1"/>
  <c r="D61" i="1"/>
  <c r="E62" i="1" l="1"/>
  <c r="D62" i="1" l="1"/>
  <c r="C62" i="1"/>
  <c r="E63" i="1" s="1"/>
  <c r="D63" i="1" l="1"/>
  <c r="C63" i="1"/>
  <c r="E64" i="1" s="1"/>
  <c r="C64" i="1" l="1"/>
  <c r="D64" i="1"/>
  <c r="E65" i="1"/>
  <c r="D65" i="1" l="1"/>
  <c r="C65" i="1"/>
  <c r="E66" i="1" s="1"/>
  <c r="C66" i="1" l="1"/>
  <c r="D66" i="1"/>
  <c r="E67" i="1" l="1"/>
  <c r="D67" i="1" l="1"/>
  <c r="C67" i="1"/>
  <c r="E68" i="1" s="1"/>
  <c r="D68" i="1" l="1"/>
  <c r="C68" i="1"/>
  <c r="E69" i="1" s="1"/>
  <c r="C69" i="1" l="1"/>
  <c r="D69" i="1"/>
  <c r="E70" i="1"/>
  <c r="D70" i="1" l="1"/>
  <c r="C70" i="1"/>
  <c r="E71" i="1"/>
  <c r="C71" i="1" l="1"/>
  <c r="D71" i="1"/>
  <c r="E72" i="1" l="1"/>
  <c r="D72" i="1" s="1"/>
  <c r="C72" i="1"/>
  <c r="E73" i="1" l="1"/>
  <c r="D73" i="1"/>
  <c r="C73" i="1"/>
  <c r="E74" i="1" l="1"/>
  <c r="D74" i="1"/>
  <c r="C74" i="1"/>
  <c r="E75" i="1" l="1"/>
  <c r="D75" i="1" l="1"/>
  <c r="C75" i="1"/>
  <c r="E76" i="1" l="1"/>
  <c r="D76" i="1" l="1"/>
  <c r="C76" i="1"/>
  <c r="E77" i="1" l="1"/>
  <c r="C77" i="1" l="1"/>
  <c r="D77" i="1"/>
  <c r="E78" i="1"/>
  <c r="D78" i="1" l="1"/>
  <c r="C78" i="1"/>
  <c r="E79" i="1" l="1"/>
  <c r="D79" i="1" l="1"/>
  <c r="C79" i="1"/>
  <c r="E80" i="1" s="1"/>
  <c r="D80" i="1" l="1"/>
  <c r="C80" i="1"/>
  <c r="E81" i="1" s="1"/>
  <c r="C81" i="1" l="1"/>
  <c r="D81" i="1"/>
  <c r="E82" i="1" l="1"/>
  <c r="D82" i="1" l="1"/>
  <c r="C82" i="1"/>
  <c r="E83" i="1" s="1"/>
  <c r="D83" i="1" l="1"/>
  <c r="C83" i="1"/>
  <c r="E84" i="1" s="1"/>
  <c r="C84" i="1" l="1"/>
  <c r="D84" i="1"/>
  <c r="E85" i="1" l="1"/>
  <c r="D85" i="1"/>
  <c r="C85" i="1"/>
  <c r="E86" i="1" s="1"/>
  <c r="C86" i="1" l="1"/>
  <c r="D86" i="1"/>
  <c r="E87" i="1" s="1"/>
  <c r="D87" i="1" l="1"/>
  <c r="C87" i="1"/>
  <c r="E88" i="1" s="1"/>
  <c r="D88" i="1" l="1"/>
  <c r="C88" i="1"/>
  <c r="E89" i="1" s="1"/>
  <c r="D89" i="1" l="1"/>
  <c r="C89" i="1"/>
  <c r="E90" i="1" s="1"/>
  <c r="D90" i="1" l="1"/>
  <c r="C90" i="1"/>
  <c r="E91" i="1" s="1"/>
  <c r="D91" i="1" l="1"/>
  <c r="C91" i="1"/>
  <c r="E92" i="1"/>
  <c r="D92" i="1" l="1"/>
  <c r="C92" i="1"/>
  <c r="E93" i="1"/>
  <c r="D93" i="1" l="1"/>
  <c r="C93" i="1"/>
  <c r="E94" i="1" s="1"/>
  <c r="D94" i="1" l="1"/>
  <c r="C94" i="1"/>
  <c r="E95" i="1" s="1"/>
  <c r="C95" i="1" l="1"/>
  <c r="D95" i="1"/>
  <c r="E96" i="1"/>
  <c r="D96" i="1" l="1"/>
  <c r="C96" i="1"/>
  <c r="E97" i="1" s="1"/>
  <c r="D97" i="1" l="1"/>
  <c r="C97" i="1"/>
  <c r="E98" i="1" s="1"/>
  <c r="D98" i="1" l="1"/>
  <c r="C98" i="1"/>
  <c r="E99" i="1" l="1"/>
  <c r="C99" i="1" l="1"/>
  <c r="D99" i="1"/>
  <c r="E100" i="1"/>
  <c r="D100" i="1" l="1"/>
  <c r="C100" i="1"/>
  <c r="E101" i="1" s="1"/>
  <c r="D101" i="1" l="1"/>
  <c r="C101" i="1"/>
  <c r="E102" i="1" s="1"/>
  <c r="D102" i="1" l="1"/>
  <c r="C102" i="1"/>
  <c r="E103" i="1" s="1"/>
  <c r="D103" i="1" l="1"/>
  <c r="C103" i="1"/>
  <c r="E104" i="1" s="1"/>
  <c r="C104" i="1" l="1"/>
  <c r="D104" i="1"/>
  <c r="E105" i="1"/>
  <c r="C105" i="1" l="1"/>
  <c r="D105" i="1"/>
  <c r="E106" i="1" l="1"/>
  <c r="D106" i="1" l="1"/>
  <c r="C106" i="1"/>
  <c r="E107" i="1" s="1"/>
  <c r="D107" i="1" l="1"/>
  <c r="C107" i="1"/>
  <c r="E108" i="1" s="1"/>
  <c r="C108" i="1" l="1"/>
  <c r="D108" i="1"/>
  <c r="E109" i="1" l="1"/>
  <c r="C109" i="1" s="1"/>
  <c r="D109" i="1" l="1"/>
  <c r="E110" i="1" s="1"/>
  <c r="C110" i="1" l="1"/>
  <c r="D110" i="1"/>
  <c r="E111" i="1"/>
  <c r="D111" i="1" s="1"/>
  <c r="C111" i="1"/>
  <c r="E112" i="1" l="1"/>
  <c r="C112" i="1"/>
  <c r="D112" i="1"/>
  <c r="E113" i="1" s="1"/>
  <c r="D113" i="1" l="1"/>
  <c r="C113" i="1"/>
  <c r="E114" i="1" s="1"/>
  <c r="D114" i="1" l="1"/>
  <c r="C114" i="1"/>
  <c r="E115" i="1" s="1"/>
  <c r="D115" i="1" l="1"/>
  <c r="C115" i="1"/>
  <c r="E116" i="1" s="1"/>
  <c r="D116" i="1" l="1"/>
  <c r="C116" i="1"/>
  <c r="E117" i="1" s="1"/>
  <c r="C117" i="1" l="1"/>
  <c r="D117" i="1"/>
  <c r="E118" i="1" s="1"/>
  <c r="C118" i="1" l="1"/>
  <c r="D118" i="1"/>
  <c r="E119" i="1" l="1"/>
  <c r="D119" i="1" l="1"/>
  <c r="C119" i="1"/>
  <c r="E120" i="1" s="1"/>
  <c r="D120" i="1" l="1"/>
  <c r="C120" i="1"/>
  <c r="E121" i="1" s="1"/>
  <c r="C121" i="1" l="1"/>
  <c r="D121" i="1"/>
  <c r="E122" i="1"/>
  <c r="D122" i="1" l="1"/>
  <c r="C122" i="1"/>
  <c r="E123" i="1" s="1"/>
  <c r="D123" i="1" l="1"/>
  <c r="C123" i="1"/>
  <c r="E124" i="1" s="1"/>
  <c r="D124" i="1" l="1"/>
  <c r="C124" i="1"/>
  <c r="E125" i="1" s="1"/>
  <c r="C125" i="1" l="1"/>
  <c r="D125" i="1"/>
  <c r="E126" i="1"/>
  <c r="C126" i="1" l="1"/>
  <c r="D126" i="1"/>
</calcChain>
</file>

<file path=xl/sharedStrings.xml><?xml version="1.0" encoding="utf-8"?>
<sst xmlns="http://schemas.openxmlformats.org/spreadsheetml/2006/main" count="9" uniqueCount="9">
  <si>
    <t>Día</t>
  </si>
  <si>
    <t>MODELO SIMULACIÓN PRODUCTOS NATURALES</t>
  </si>
  <si>
    <t>Ingreso botellas</t>
  </si>
  <si>
    <t>Venta botellas</t>
  </si>
  <si>
    <t>Descarte botellas</t>
  </si>
  <si>
    <t>Tasa descarte</t>
  </si>
  <si>
    <t>Botellas (0)</t>
  </si>
  <si>
    <t>Botellas</t>
  </si>
  <si>
    <t>Tasa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</si>
</sst>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tabSelected="1" workbookViewId="0">
      <selection activeCell="E10" sqref="E10"/>
    </sheetView>
  </sheetViews>
  <sheetFormatPr baseColWidth="10" defaultRowHeight="15" x14ac:dyDescent="0.25"/>
  <cols>
    <col min="1" max="1" width="12.42578125" style="1" customWidth="1"/>
    <col min="2" max="2" width="14" bestFit="1" customWidth="1"/>
    <col min="3" max="3" width="12.42578125" customWidth="1"/>
    <col min="4" max="4" width="13.5703125" customWidth="1"/>
    <col min="5" max="5" width="21.28515625" style="1" customWidth="1"/>
    <col min="6" max="6" width="10.140625" customWidth="1"/>
    <col min="7" max="7" width="18.5703125" bestFit="1" customWidth="1"/>
  </cols>
  <sheetData>
    <row r="1" spans="1:6" x14ac:dyDescent="0.25">
      <c r="A1" s="6" t="s">
        <v>1</v>
      </c>
      <c r="B1" s="6"/>
      <c r="C1" s="6"/>
      <c r="D1" s="6"/>
      <c r="E1" s="6"/>
      <c r="F1" s="6"/>
    </row>
    <row r="2" spans="1:6" x14ac:dyDescent="0.25">
      <c r="A2" s="5" t="s">
        <v>6</v>
      </c>
      <c r="B2" s="1">
        <v>0</v>
      </c>
    </row>
    <row r="3" spans="1:6" x14ac:dyDescent="0.25">
      <c r="A3" s="5" t="s">
        <v>8</v>
      </c>
      <c r="B3" s="1">
        <v>0.15</v>
      </c>
    </row>
    <row r="4" spans="1:6" x14ac:dyDescent="0.25">
      <c r="A4" s="5" t="s">
        <v>5</v>
      </c>
      <c r="B4" s="1">
        <v>0.02</v>
      </c>
    </row>
    <row r="5" spans="1:6" ht="30" x14ac:dyDescent="0.25">
      <c r="A5" s="2" t="s">
        <v>0</v>
      </c>
      <c r="B5" s="2" t="s">
        <v>2</v>
      </c>
      <c r="C5" s="2" t="s">
        <v>3</v>
      </c>
      <c r="D5" s="2" t="s">
        <v>4</v>
      </c>
      <c r="E5" s="2" t="s">
        <v>7</v>
      </c>
    </row>
    <row r="6" spans="1:6" x14ac:dyDescent="0.25">
      <c r="A6" s="3">
        <v>0</v>
      </c>
      <c r="B6" s="3">
        <f>+IF(MOD(A6,10)=0,500,0)</f>
        <v>500</v>
      </c>
      <c r="C6" s="3">
        <f t="shared" ref="C6:C37" si="0">+E6*$B$3</f>
        <v>0</v>
      </c>
      <c r="D6" s="3">
        <f t="shared" ref="D6:D37" si="1">+E6*$B$4</f>
        <v>0</v>
      </c>
      <c r="E6" s="3">
        <f>+B2</f>
        <v>0</v>
      </c>
    </row>
    <row r="7" spans="1:6" x14ac:dyDescent="0.25">
      <c r="A7" s="3">
        <v>1</v>
      </c>
      <c r="B7" s="3">
        <f t="shared" ref="B7:B70" si="2">+IF(MOD(A7,10)=0,500,0)</f>
        <v>0</v>
      </c>
      <c r="C7" s="3">
        <f t="shared" si="0"/>
        <v>75</v>
      </c>
      <c r="D7" s="3">
        <f t="shared" si="1"/>
        <v>10</v>
      </c>
      <c r="E7" s="3">
        <f>+E6+B6-C6-D6</f>
        <v>500</v>
      </c>
    </row>
    <row r="8" spans="1:6" x14ac:dyDescent="0.25">
      <c r="A8" s="3">
        <v>2</v>
      </c>
      <c r="B8" s="3">
        <f t="shared" si="2"/>
        <v>0</v>
      </c>
      <c r="C8" s="4">
        <f t="shared" si="0"/>
        <v>62.25</v>
      </c>
      <c r="D8" s="4">
        <f t="shared" si="1"/>
        <v>8.3000000000000007</v>
      </c>
      <c r="E8" s="4">
        <f t="shared" ref="E8:E71" si="3">+E7+B7-C7-D7</f>
        <v>415</v>
      </c>
    </row>
    <row r="9" spans="1:6" x14ac:dyDescent="0.25">
      <c r="A9" s="3">
        <v>3</v>
      </c>
      <c r="B9" s="3">
        <f t="shared" si="2"/>
        <v>0</v>
      </c>
      <c r="C9" s="4">
        <f t="shared" si="0"/>
        <v>51.667499999999997</v>
      </c>
      <c r="D9" s="4">
        <f t="shared" si="1"/>
        <v>6.8890000000000002</v>
      </c>
      <c r="E9" s="4">
        <f>+E8+B8-C8-D8</f>
        <v>344.45</v>
      </c>
    </row>
    <row r="10" spans="1:6" x14ac:dyDescent="0.25">
      <c r="A10" s="3">
        <v>4</v>
      </c>
      <c r="B10" s="3">
        <f t="shared" si="2"/>
        <v>0</v>
      </c>
      <c r="C10" s="4">
        <f t="shared" si="0"/>
        <v>42.884024999999994</v>
      </c>
      <c r="D10" s="4">
        <f t="shared" si="1"/>
        <v>5.7178699999999996</v>
      </c>
      <c r="E10" s="4">
        <f t="shared" si="3"/>
        <v>285.89349999999996</v>
      </c>
    </row>
    <row r="11" spans="1:6" x14ac:dyDescent="0.25">
      <c r="A11" s="3">
        <v>5</v>
      </c>
      <c r="B11" s="3">
        <f t="shared" si="2"/>
        <v>0</v>
      </c>
      <c r="C11" s="4">
        <f t="shared" si="0"/>
        <v>35.593740749999988</v>
      </c>
      <c r="D11" s="4">
        <f t="shared" si="1"/>
        <v>4.7458320999999994</v>
      </c>
      <c r="E11" s="4">
        <f t="shared" si="3"/>
        <v>237.29160499999995</v>
      </c>
    </row>
    <row r="12" spans="1:6" x14ac:dyDescent="0.25">
      <c r="A12" s="3">
        <v>6</v>
      </c>
      <c r="B12" s="3">
        <f t="shared" si="2"/>
        <v>0</v>
      </c>
      <c r="C12" s="4">
        <f t="shared" si="0"/>
        <v>29.542804822499992</v>
      </c>
      <c r="D12" s="4">
        <f t="shared" si="1"/>
        <v>3.9390406429999989</v>
      </c>
      <c r="E12" s="4">
        <f t="shared" si="3"/>
        <v>196.95203214999995</v>
      </c>
    </row>
    <row r="13" spans="1:6" x14ac:dyDescent="0.25">
      <c r="A13" s="3">
        <v>7</v>
      </c>
      <c r="B13" s="3">
        <f t="shared" si="2"/>
        <v>0</v>
      </c>
      <c r="C13" s="4">
        <f t="shared" si="0"/>
        <v>24.520528002674993</v>
      </c>
      <c r="D13" s="4">
        <f t="shared" si="1"/>
        <v>3.2694037336899995</v>
      </c>
      <c r="E13" s="4">
        <f t="shared" si="3"/>
        <v>163.47018668449996</v>
      </c>
    </row>
    <row r="14" spans="1:6" x14ac:dyDescent="0.25">
      <c r="A14" s="3">
        <v>8</v>
      </c>
      <c r="B14" s="3">
        <f t="shared" si="2"/>
        <v>0</v>
      </c>
      <c r="C14" s="4">
        <f t="shared" si="0"/>
        <v>20.352038242220246</v>
      </c>
      <c r="D14" s="4">
        <f t="shared" si="1"/>
        <v>2.7136050989626996</v>
      </c>
      <c r="E14" s="4">
        <f t="shared" si="3"/>
        <v>135.68025494813497</v>
      </c>
    </row>
    <row r="15" spans="1:6" x14ac:dyDescent="0.25">
      <c r="A15" s="3">
        <v>9</v>
      </c>
      <c r="B15" s="3">
        <f t="shared" si="2"/>
        <v>0</v>
      </c>
      <c r="C15" s="4">
        <f t="shared" si="0"/>
        <v>16.892191741042804</v>
      </c>
      <c r="D15" s="4">
        <f t="shared" si="1"/>
        <v>2.2522922321390406</v>
      </c>
      <c r="E15" s="4">
        <f t="shared" si="3"/>
        <v>112.61461160695202</v>
      </c>
    </row>
    <row r="16" spans="1:6" x14ac:dyDescent="0.25">
      <c r="A16" s="3">
        <v>10</v>
      </c>
      <c r="B16" s="3">
        <f t="shared" si="2"/>
        <v>500</v>
      </c>
      <c r="C16" s="4">
        <f t="shared" si="0"/>
        <v>14.020519145065526</v>
      </c>
      <c r="D16" s="4">
        <f t="shared" si="1"/>
        <v>1.8694025526754035</v>
      </c>
      <c r="E16" s="4">
        <f t="shared" si="3"/>
        <v>93.470127633770176</v>
      </c>
    </row>
    <row r="17" spans="1:5" x14ac:dyDescent="0.25">
      <c r="A17" s="3">
        <v>11</v>
      </c>
      <c r="B17" s="3">
        <f t="shared" si="2"/>
        <v>0</v>
      </c>
      <c r="C17" s="4">
        <f t="shared" si="0"/>
        <v>86.637030890404375</v>
      </c>
      <c r="D17" s="4">
        <f t="shared" si="1"/>
        <v>11.551604118720585</v>
      </c>
      <c r="E17" s="4">
        <f t="shared" si="3"/>
        <v>577.58020593602919</v>
      </c>
    </row>
    <row r="18" spans="1:5" x14ac:dyDescent="0.25">
      <c r="A18" s="3">
        <v>12</v>
      </c>
      <c r="B18" s="3">
        <f t="shared" si="2"/>
        <v>0</v>
      </c>
      <c r="C18" s="4">
        <f t="shared" si="0"/>
        <v>71.908735639035626</v>
      </c>
      <c r="D18" s="4">
        <f t="shared" si="1"/>
        <v>9.5878314185380837</v>
      </c>
      <c r="E18" s="4">
        <f t="shared" si="3"/>
        <v>479.39157092690419</v>
      </c>
    </row>
    <row r="19" spans="1:5" x14ac:dyDescent="0.25">
      <c r="A19" s="3">
        <v>13</v>
      </c>
      <c r="B19" s="3">
        <f t="shared" si="2"/>
        <v>0</v>
      </c>
      <c r="C19" s="4">
        <f t="shared" si="0"/>
        <v>59.684250580399571</v>
      </c>
      <c r="D19" s="4">
        <f t="shared" si="1"/>
        <v>7.9579000773866095</v>
      </c>
      <c r="E19" s="4">
        <f t="shared" si="3"/>
        <v>397.89500386933048</v>
      </c>
    </row>
    <row r="20" spans="1:5" x14ac:dyDescent="0.25">
      <c r="A20" s="3">
        <v>14</v>
      </c>
      <c r="B20" s="3">
        <f t="shared" si="2"/>
        <v>0</v>
      </c>
      <c r="C20" s="4">
        <f t="shared" si="0"/>
        <v>49.537927981731642</v>
      </c>
      <c r="D20" s="4">
        <f t="shared" si="1"/>
        <v>6.6050570642308859</v>
      </c>
      <c r="E20" s="4">
        <f t="shared" si="3"/>
        <v>330.25285321154428</v>
      </c>
    </row>
    <row r="21" spans="1:5" x14ac:dyDescent="0.25">
      <c r="A21" s="3">
        <v>15</v>
      </c>
      <c r="B21" s="3">
        <f t="shared" si="2"/>
        <v>0</v>
      </c>
      <c r="C21" s="4">
        <f t="shared" si="0"/>
        <v>41.116480224837261</v>
      </c>
      <c r="D21" s="4">
        <f t="shared" si="1"/>
        <v>5.4821973633116352</v>
      </c>
      <c r="E21" s="4">
        <f t="shared" si="3"/>
        <v>274.10986816558176</v>
      </c>
    </row>
    <row r="22" spans="1:5" x14ac:dyDescent="0.25">
      <c r="A22" s="3">
        <v>16</v>
      </c>
      <c r="B22" s="3">
        <f t="shared" si="2"/>
        <v>0</v>
      </c>
      <c r="C22" s="4">
        <f t="shared" si="0"/>
        <v>34.126678586614929</v>
      </c>
      <c r="D22" s="4">
        <f t="shared" si="1"/>
        <v>4.5502238115486575</v>
      </c>
      <c r="E22" s="4">
        <f t="shared" si="3"/>
        <v>227.51119057743287</v>
      </c>
    </row>
    <row r="23" spans="1:5" x14ac:dyDescent="0.25">
      <c r="A23" s="3">
        <v>17</v>
      </c>
      <c r="B23" s="3">
        <f t="shared" si="2"/>
        <v>0</v>
      </c>
      <c r="C23" s="4">
        <f t="shared" si="0"/>
        <v>28.325143226890393</v>
      </c>
      <c r="D23" s="4">
        <f t="shared" si="1"/>
        <v>3.7766857635853861</v>
      </c>
      <c r="E23" s="4">
        <f t="shared" si="3"/>
        <v>188.83428817926929</v>
      </c>
    </row>
    <row r="24" spans="1:5" x14ac:dyDescent="0.25">
      <c r="A24" s="3">
        <v>18</v>
      </c>
      <c r="B24" s="3">
        <f t="shared" si="2"/>
        <v>0</v>
      </c>
      <c r="C24" s="4">
        <f t="shared" si="0"/>
        <v>23.509868878319025</v>
      </c>
      <c r="D24" s="4">
        <f t="shared" si="1"/>
        <v>3.1346491837758705</v>
      </c>
      <c r="E24" s="4">
        <f t="shared" si="3"/>
        <v>156.73245918879351</v>
      </c>
    </row>
    <row r="25" spans="1:5" x14ac:dyDescent="0.25">
      <c r="A25" s="3">
        <v>19</v>
      </c>
      <c r="B25" s="3">
        <f t="shared" si="2"/>
        <v>0</v>
      </c>
      <c r="C25" s="4">
        <f t="shared" si="0"/>
        <v>19.513191169004791</v>
      </c>
      <c r="D25" s="4">
        <f t="shared" si="1"/>
        <v>2.6017588225339723</v>
      </c>
      <c r="E25" s="4">
        <f t="shared" si="3"/>
        <v>130.08794112669861</v>
      </c>
    </row>
    <row r="26" spans="1:5" x14ac:dyDescent="0.25">
      <c r="A26" s="3">
        <v>20</v>
      </c>
      <c r="B26" s="3">
        <f t="shared" si="2"/>
        <v>500</v>
      </c>
      <c r="C26" s="4">
        <f t="shared" si="0"/>
        <v>16.195948670273978</v>
      </c>
      <c r="D26" s="4">
        <f t="shared" si="1"/>
        <v>2.1594598227031971</v>
      </c>
      <c r="E26" s="4">
        <f t="shared" si="3"/>
        <v>107.97299113515986</v>
      </c>
    </row>
    <row r="27" spans="1:5" x14ac:dyDescent="0.25">
      <c r="A27" s="3">
        <v>21</v>
      </c>
      <c r="B27" s="3">
        <f t="shared" si="2"/>
        <v>0</v>
      </c>
      <c r="C27" s="4">
        <f t="shared" si="0"/>
        <v>88.442637396327399</v>
      </c>
      <c r="D27" s="4">
        <f t="shared" si="1"/>
        <v>11.792351652843655</v>
      </c>
      <c r="E27" s="4">
        <f t="shared" si="3"/>
        <v>589.6175826421827</v>
      </c>
    </row>
    <row r="28" spans="1:5" x14ac:dyDescent="0.25">
      <c r="A28" s="3">
        <v>22</v>
      </c>
      <c r="B28" s="3">
        <f t="shared" si="2"/>
        <v>0</v>
      </c>
      <c r="C28" s="4">
        <f t="shared" si="0"/>
        <v>73.407389038951735</v>
      </c>
      <c r="D28" s="4">
        <f t="shared" si="1"/>
        <v>9.7876518718602323</v>
      </c>
      <c r="E28" s="4">
        <f t="shared" si="3"/>
        <v>489.38259359301162</v>
      </c>
    </row>
    <row r="29" spans="1:5" x14ac:dyDescent="0.25">
      <c r="A29" s="3">
        <v>23</v>
      </c>
      <c r="B29" s="3">
        <f t="shared" si="2"/>
        <v>0</v>
      </c>
      <c r="C29" s="4">
        <f t="shared" si="0"/>
        <v>60.928132902329942</v>
      </c>
      <c r="D29" s="4">
        <f t="shared" si="1"/>
        <v>8.1237510536439927</v>
      </c>
      <c r="E29" s="4">
        <f t="shared" si="3"/>
        <v>406.18755268219962</v>
      </c>
    </row>
    <row r="30" spans="1:5" x14ac:dyDescent="0.25">
      <c r="A30" s="3">
        <v>24</v>
      </c>
      <c r="B30" s="3">
        <f t="shared" si="2"/>
        <v>0</v>
      </c>
      <c r="C30" s="4">
        <f t="shared" si="0"/>
        <v>50.570350308933847</v>
      </c>
      <c r="D30" s="4">
        <f t="shared" si="1"/>
        <v>6.7427133745245138</v>
      </c>
      <c r="E30" s="4">
        <f t="shared" si="3"/>
        <v>337.13566872622567</v>
      </c>
    </row>
    <row r="31" spans="1:5" x14ac:dyDescent="0.25">
      <c r="A31" s="3">
        <v>25</v>
      </c>
      <c r="B31" s="3">
        <f t="shared" si="2"/>
        <v>0</v>
      </c>
      <c r="C31" s="4">
        <f t="shared" si="0"/>
        <v>41.9733907564151</v>
      </c>
      <c r="D31" s="4">
        <f t="shared" si="1"/>
        <v>5.5964521008553474</v>
      </c>
      <c r="E31" s="4">
        <f t="shared" si="3"/>
        <v>279.82260504276735</v>
      </c>
    </row>
    <row r="32" spans="1:5" x14ac:dyDescent="0.25">
      <c r="A32" s="3">
        <v>26</v>
      </c>
      <c r="B32" s="3">
        <f t="shared" si="2"/>
        <v>0</v>
      </c>
      <c r="C32" s="4">
        <f t="shared" si="0"/>
        <v>34.837914327824535</v>
      </c>
      <c r="D32" s="4">
        <f t="shared" si="1"/>
        <v>4.6450552437099386</v>
      </c>
      <c r="E32" s="4">
        <f t="shared" si="3"/>
        <v>232.25276218549692</v>
      </c>
    </row>
    <row r="33" spans="1:5" x14ac:dyDescent="0.25">
      <c r="A33" s="3">
        <v>27</v>
      </c>
      <c r="B33" s="3">
        <f t="shared" si="2"/>
        <v>0</v>
      </c>
      <c r="C33" s="4">
        <f t="shared" si="0"/>
        <v>28.915468892094363</v>
      </c>
      <c r="D33" s="4">
        <f t="shared" si="1"/>
        <v>3.8553958522792486</v>
      </c>
      <c r="E33" s="4">
        <f t="shared" si="3"/>
        <v>192.76979261396244</v>
      </c>
    </row>
    <row r="34" spans="1:5" x14ac:dyDescent="0.25">
      <c r="A34" s="3">
        <v>28</v>
      </c>
      <c r="B34" s="3">
        <f t="shared" si="2"/>
        <v>0</v>
      </c>
      <c r="C34" s="4">
        <f t="shared" si="0"/>
        <v>23.999839180438322</v>
      </c>
      <c r="D34" s="4">
        <f t="shared" si="1"/>
        <v>3.1999785573917765</v>
      </c>
      <c r="E34" s="4">
        <f t="shared" si="3"/>
        <v>159.99892786958881</v>
      </c>
    </row>
    <row r="35" spans="1:5" x14ac:dyDescent="0.25">
      <c r="A35" s="3">
        <v>29</v>
      </c>
      <c r="B35" s="3">
        <f t="shared" si="2"/>
        <v>0</v>
      </c>
      <c r="C35" s="4">
        <f t="shared" si="0"/>
        <v>19.919866519763804</v>
      </c>
      <c r="D35" s="4">
        <f t="shared" si="1"/>
        <v>2.6559822026351743</v>
      </c>
      <c r="E35" s="4">
        <f t="shared" si="3"/>
        <v>132.79911013175871</v>
      </c>
    </row>
    <row r="36" spans="1:5" x14ac:dyDescent="0.25">
      <c r="A36" s="3">
        <v>30</v>
      </c>
      <c r="B36" s="3">
        <f t="shared" si="2"/>
        <v>500</v>
      </c>
      <c r="C36" s="4">
        <f t="shared" si="0"/>
        <v>16.53348921140396</v>
      </c>
      <c r="D36" s="4">
        <f t="shared" si="1"/>
        <v>2.2044652281871948</v>
      </c>
      <c r="E36" s="4">
        <f t="shared" si="3"/>
        <v>110.22326140935974</v>
      </c>
    </row>
    <row r="37" spans="1:5" x14ac:dyDescent="0.25">
      <c r="A37" s="3">
        <v>31</v>
      </c>
      <c r="B37" s="3">
        <f t="shared" si="2"/>
        <v>0</v>
      </c>
      <c r="C37" s="4">
        <f t="shared" si="0"/>
        <v>88.722796045465273</v>
      </c>
      <c r="D37" s="4">
        <f t="shared" si="1"/>
        <v>11.829706139395372</v>
      </c>
      <c r="E37" s="4">
        <f t="shared" si="3"/>
        <v>591.48530696976854</v>
      </c>
    </row>
    <row r="38" spans="1:5" x14ac:dyDescent="0.25">
      <c r="A38" s="3">
        <v>32</v>
      </c>
      <c r="B38" s="3">
        <f t="shared" si="2"/>
        <v>0</v>
      </c>
      <c r="C38" s="4">
        <f t="shared" ref="C38:C69" si="4">+E38*$B$3</f>
        <v>73.639920717736175</v>
      </c>
      <c r="D38" s="4">
        <f t="shared" ref="D38:D69" si="5">+E38*$B$4</f>
        <v>9.8186560956981577</v>
      </c>
      <c r="E38" s="4">
        <f t="shared" si="3"/>
        <v>490.93280478490789</v>
      </c>
    </row>
    <row r="39" spans="1:5" x14ac:dyDescent="0.25">
      <c r="A39" s="3">
        <v>33</v>
      </c>
      <c r="B39" s="3">
        <f t="shared" si="2"/>
        <v>0</v>
      </c>
      <c r="C39" s="4">
        <f t="shared" si="4"/>
        <v>61.121134195721034</v>
      </c>
      <c r="D39" s="4">
        <f t="shared" si="5"/>
        <v>8.1494845594294709</v>
      </c>
      <c r="E39" s="4">
        <f t="shared" si="3"/>
        <v>407.47422797147357</v>
      </c>
    </row>
    <row r="40" spans="1:5" x14ac:dyDescent="0.25">
      <c r="A40" s="3">
        <v>34</v>
      </c>
      <c r="B40" s="3">
        <f t="shared" si="2"/>
        <v>0</v>
      </c>
      <c r="C40" s="4">
        <f t="shared" si="4"/>
        <v>50.730541382448457</v>
      </c>
      <c r="D40" s="4">
        <f t="shared" si="5"/>
        <v>6.7640721843264613</v>
      </c>
      <c r="E40" s="4">
        <f t="shared" si="3"/>
        <v>338.20360921632306</v>
      </c>
    </row>
    <row r="41" spans="1:5" x14ac:dyDescent="0.25">
      <c r="A41" s="3">
        <v>35</v>
      </c>
      <c r="B41" s="3">
        <f t="shared" si="2"/>
        <v>0</v>
      </c>
      <c r="C41" s="4">
        <f t="shared" si="4"/>
        <v>42.106349347432221</v>
      </c>
      <c r="D41" s="4">
        <f t="shared" si="5"/>
        <v>5.6141799129909638</v>
      </c>
      <c r="E41" s="4">
        <f t="shared" si="3"/>
        <v>280.70899564954817</v>
      </c>
    </row>
    <row r="42" spans="1:5" x14ac:dyDescent="0.25">
      <c r="A42" s="3">
        <v>36</v>
      </c>
      <c r="B42" s="3">
        <f t="shared" si="2"/>
        <v>0</v>
      </c>
      <c r="C42" s="4">
        <f t="shared" si="4"/>
        <v>34.948269958368741</v>
      </c>
      <c r="D42" s="4">
        <f t="shared" si="5"/>
        <v>4.6597693277824996</v>
      </c>
      <c r="E42" s="4">
        <f t="shared" si="3"/>
        <v>232.98846638912497</v>
      </c>
    </row>
    <row r="43" spans="1:5" x14ac:dyDescent="0.25">
      <c r="A43" s="3">
        <v>37</v>
      </c>
      <c r="B43" s="3">
        <f t="shared" si="2"/>
        <v>0</v>
      </c>
      <c r="C43" s="4">
        <f t="shared" si="4"/>
        <v>29.007064065446059</v>
      </c>
      <c r="D43" s="4">
        <f t="shared" si="5"/>
        <v>3.8676085420594748</v>
      </c>
      <c r="E43" s="4">
        <f t="shared" si="3"/>
        <v>193.38042710297373</v>
      </c>
    </row>
    <row r="44" spans="1:5" x14ac:dyDescent="0.25">
      <c r="A44" s="3">
        <v>38</v>
      </c>
      <c r="B44" s="3">
        <f t="shared" si="2"/>
        <v>0</v>
      </c>
      <c r="C44" s="4">
        <f t="shared" si="4"/>
        <v>24.075863174320226</v>
      </c>
      <c r="D44" s="4">
        <f t="shared" si="5"/>
        <v>3.2101150899093636</v>
      </c>
      <c r="E44" s="4">
        <f t="shared" si="3"/>
        <v>160.50575449546818</v>
      </c>
    </row>
    <row r="45" spans="1:5" x14ac:dyDescent="0.25">
      <c r="A45" s="3">
        <v>39</v>
      </c>
      <c r="B45" s="3">
        <f t="shared" si="2"/>
        <v>0</v>
      </c>
      <c r="C45" s="4">
        <f t="shared" si="4"/>
        <v>19.982966434685789</v>
      </c>
      <c r="D45" s="4">
        <f t="shared" si="5"/>
        <v>2.6643955246247719</v>
      </c>
      <c r="E45" s="4">
        <f t="shared" si="3"/>
        <v>133.2197762312386</v>
      </c>
    </row>
    <row r="46" spans="1:5" x14ac:dyDescent="0.25">
      <c r="A46" s="3">
        <v>40</v>
      </c>
      <c r="B46" s="3">
        <f t="shared" si="2"/>
        <v>500</v>
      </c>
      <c r="C46" s="4">
        <f t="shared" si="4"/>
        <v>16.585862140789207</v>
      </c>
      <c r="D46" s="4">
        <f t="shared" si="5"/>
        <v>2.2114482854385606</v>
      </c>
      <c r="E46" s="4">
        <f t="shared" si="3"/>
        <v>110.57241427192804</v>
      </c>
    </row>
    <row r="47" spans="1:5" x14ac:dyDescent="0.25">
      <c r="A47" s="3">
        <v>41</v>
      </c>
      <c r="B47" s="3">
        <f t="shared" si="2"/>
        <v>0</v>
      </c>
      <c r="C47" s="4">
        <f t="shared" si="4"/>
        <v>88.76626557685502</v>
      </c>
      <c r="D47" s="4">
        <f t="shared" si="5"/>
        <v>11.835502076914004</v>
      </c>
      <c r="E47" s="4">
        <f t="shared" si="3"/>
        <v>591.77510384570019</v>
      </c>
    </row>
    <row r="48" spans="1:5" x14ac:dyDescent="0.25">
      <c r="A48" s="3">
        <v>42</v>
      </c>
      <c r="B48" s="3">
        <f t="shared" si="2"/>
        <v>0</v>
      </c>
      <c r="C48" s="4">
        <f t="shared" si="4"/>
        <v>73.676000428789678</v>
      </c>
      <c r="D48" s="4">
        <f t="shared" si="5"/>
        <v>9.8234667238386244</v>
      </c>
      <c r="E48" s="4">
        <f t="shared" si="3"/>
        <v>491.17333619193118</v>
      </c>
    </row>
    <row r="49" spans="1:5" x14ac:dyDescent="0.25">
      <c r="A49" s="3">
        <v>43</v>
      </c>
      <c r="B49" s="3">
        <f t="shared" si="2"/>
        <v>0</v>
      </c>
      <c r="C49" s="4">
        <f t="shared" si="4"/>
        <v>61.151080355895431</v>
      </c>
      <c r="D49" s="4">
        <f t="shared" si="5"/>
        <v>8.1534773807860574</v>
      </c>
      <c r="E49" s="4">
        <f t="shared" si="3"/>
        <v>407.67386903930287</v>
      </c>
    </row>
    <row r="50" spans="1:5" x14ac:dyDescent="0.25">
      <c r="A50" s="3">
        <v>44</v>
      </c>
      <c r="B50" s="3">
        <f t="shared" si="2"/>
        <v>0</v>
      </c>
      <c r="C50" s="4">
        <f t="shared" si="4"/>
        <v>50.755396695393209</v>
      </c>
      <c r="D50" s="4">
        <f t="shared" si="5"/>
        <v>6.7673862260524276</v>
      </c>
      <c r="E50" s="4">
        <f t="shared" si="3"/>
        <v>338.36931130262138</v>
      </c>
    </row>
    <row r="51" spans="1:5" x14ac:dyDescent="0.25">
      <c r="A51" s="3">
        <v>45</v>
      </c>
      <c r="B51" s="3">
        <f t="shared" si="2"/>
        <v>0</v>
      </c>
      <c r="C51" s="4">
        <f t="shared" si="4"/>
        <v>42.126979257176359</v>
      </c>
      <c r="D51" s="4">
        <f t="shared" si="5"/>
        <v>5.6169305676235153</v>
      </c>
      <c r="E51" s="4">
        <f t="shared" si="3"/>
        <v>280.84652838117574</v>
      </c>
    </row>
    <row r="52" spans="1:5" x14ac:dyDescent="0.25">
      <c r="A52" s="3">
        <v>46</v>
      </c>
      <c r="B52" s="3">
        <f t="shared" si="2"/>
        <v>0</v>
      </c>
      <c r="C52" s="4">
        <f t="shared" si="4"/>
        <v>34.96539278345638</v>
      </c>
      <c r="D52" s="4">
        <f t="shared" si="5"/>
        <v>4.6620523711275181</v>
      </c>
      <c r="E52" s="4">
        <f t="shared" si="3"/>
        <v>233.10261855637589</v>
      </c>
    </row>
    <row r="53" spans="1:5" x14ac:dyDescent="0.25">
      <c r="A53" s="3">
        <v>47</v>
      </c>
      <c r="B53" s="3">
        <f t="shared" si="2"/>
        <v>0</v>
      </c>
      <c r="C53" s="4">
        <f t="shared" si="4"/>
        <v>29.021276010268799</v>
      </c>
      <c r="D53" s="4">
        <f t="shared" si="5"/>
        <v>3.8695034680358402</v>
      </c>
      <c r="E53" s="4">
        <f t="shared" si="3"/>
        <v>193.47517340179201</v>
      </c>
    </row>
    <row r="54" spans="1:5" x14ac:dyDescent="0.25">
      <c r="A54" s="3">
        <v>48</v>
      </c>
      <c r="B54" s="3">
        <f t="shared" si="2"/>
        <v>0</v>
      </c>
      <c r="C54" s="4">
        <f t="shared" si="4"/>
        <v>24.087659088523104</v>
      </c>
      <c r="D54" s="4">
        <f t="shared" si="5"/>
        <v>3.2116878784697476</v>
      </c>
      <c r="E54" s="4">
        <f t="shared" si="3"/>
        <v>160.58439392348737</v>
      </c>
    </row>
    <row r="55" spans="1:5" x14ac:dyDescent="0.25">
      <c r="A55" s="3">
        <v>49</v>
      </c>
      <c r="B55" s="3">
        <f t="shared" si="2"/>
        <v>0</v>
      </c>
      <c r="C55" s="4">
        <f t="shared" si="4"/>
        <v>19.992757043474175</v>
      </c>
      <c r="D55" s="4">
        <f t="shared" si="5"/>
        <v>2.6657009391298905</v>
      </c>
      <c r="E55" s="4">
        <f t="shared" si="3"/>
        <v>133.28504695649451</v>
      </c>
    </row>
    <row r="56" spans="1:5" x14ac:dyDescent="0.25">
      <c r="A56" s="3">
        <v>50</v>
      </c>
      <c r="B56" s="3">
        <f t="shared" si="2"/>
        <v>500</v>
      </c>
      <c r="C56" s="4">
        <f t="shared" si="4"/>
        <v>16.593988346083567</v>
      </c>
      <c r="D56" s="4">
        <f t="shared" si="5"/>
        <v>2.2125317794778092</v>
      </c>
      <c r="E56" s="4">
        <f t="shared" si="3"/>
        <v>110.62658897389045</v>
      </c>
    </row>
    <row r="57" spans="1:5" x14ac:dyDescent="0.25">
      <c r="A57" s="3">
        <v>51</v>
      </c>
      <c r="B57" s="3">
        <f t="shared" si="2"/>
        <v>0</v>
      </c>
      <c r="C57" s="4">
        <f t="shared" si="4"/>
        <v>88.773010327249352</v>
      </c>
      <c r="D57" s="4">
        <f t="shared" si="5"/>
        <v>11.836401376966581</v>
      </c>
      <c r="E57" s="4">
        <f t="shared" si="3"/>
        <v>591.82006884832902</v>
      </c>
    </row>
    <row r="58" spans="1:5" x14ac:dyDescent="0.25">
      <c r="A58" s="3">
        <v>52</v>
      </c>
      <c r="B58" s="3">
        <f t="shared" si="2"/>
        <v>0</v>
      </c>
      <c r="C58" s="4">
        <f t="shared" si="4"/>
        <v>73.681598571616959</v>
      </c>
      <c r="D58" s="4">
        <f t="shared" si="5"/>
        <v>9.824213142882261</v>
      </c>
      <c r="E58" s="4">
        <f t="shared" si="3"/>
        <v>491.21065714411304</v>
      </c>
    </row>
    <row r="59" spans="1:5" x14ac:dyDescent="0.25">
      <c r="A59" s="3">
        <v>53</v>
      </c>
      <c r="B59" s="3">
        <f t="shared" si="2"/>
        <v>0</v>
      </c>
      <c r="C59" s="4">
        <f t="shared" si="4"/>
        <v>61.155726814442062</v>
      </c>
      <c r="D59" s="4">
        <f t="shared" si="5"/>
        <v>8.1540969085922761</v>
      </c>
      <c r="E59" s="4">
        <f t="shared" si="3"/>
        <v>407.70484542961378</v>
      </c>
    </row>
    <row r="60" spans="1:5" x14ac:dyDescent="0.25">
      <c r="A60" s="3">
        <v>54</v>
      </c>
      <c r="B60" s="3">
        <f t="shared" si="2"/>
        <v>0</v>
      </c>
      <c r="C60" s="4">
        <f t="shared" si="4"/>
        <v>50.759253255986913</v>
      </c>
      <c r="D60" s="4">
        <f t="shared" si="5"/>
        <v>6.7679004341315885</v>
      </c>
      <c r="E60" s="4">
        <f t="shared" si="3"/>
        <v>338.39502170657943</v>
      </c>
    </row>
    <row r="61" spans="1:5" x14ac:dyDescent="0.25">
      <c r="A61" s="3">
        <v>55</v>
      </c>
      <c r="B61" s="3">
        <f t="shared" si="2"/>
        <v>0</v>
      </c>
      <c r="C61" s="4">
        <f t="shared" si="4"/>
        <v>42.130180202469141</v>
      </c>
      <c r="D61" s="4">
        <f t="shared" si="5"/>
        <v>5.6173573603292191</v>
      </c>
      <c r="E61" s="4">
        <f t="shared" si="3"/>
        <v>280.86786801646093</v>
      </c>
    </row>
    <row r="62" spans="1:5" x14ac:dyDescent="0.25">
      <c r="A62" s="3">
        <v>56</v>
      </c>
      <c r="B62" s="3">
        <f t="shared" si="2"/>
        <v>0</v>
      </c>
      <c r="C62" s="4">
        <f t="shared" si="4"/>
        <v>34.968049568049388</v>
      </c>
      <c r="D62" s="4">
        <f t="shared" si="5"/>
        <v>4.6624066090732512</v>
      </c>
      <c r="E62" s="4">
        <f t="shared" si="3"/>
        <v>233.12033045366258</v>
      </c>
    </row>
    <row r="63" spans="1:5" x14ac:dyDescent="0.25">
      <c r="A63" s="3">
        <v>57</v>
      </c>
      <c r="B63" s="3">
        <f t="shared" si="2"/>
        <v>0</v>
      </c>
      <c r="C63" s="4">
        <f t="shared" si="4"/>
        <v>29.023481141480985</v>
      </c>
      <c r="D63" s="4">
        <f t="shared" si="5"/>
        <v>3.8697974855307984</v>
      </c>
      <c r="E63" s="4">
        <f t="shared" si="3"/>
        <v>193.48987427653992</v>
      </c>
    </row>
    <row r="64" spans="1:5" x14ac:dyDescent="0.25">
      <c r="A64" s="3">
        <v>58</v>
      </c>
      <c r="B64" s="3">
        <f t="shared" si="2"/>
        <v>0</v>
      </c>
      <c r="C64" s="4">
        <f t="shared" si="4"/>
        <v>24.089489347429218</v>
      </c>
      <c r="D64" s="4">
        <f t="shared" si="5"/>
        <v>3.2119319129905626</v>
      </c>
      <c r="E64" s="4">
        <f t="shared" si="3"/>
        <v>160.59659564952813</v>
      </c>
    </row>
    <row r="65" spans="1:5" x14ac:dyDescent="0.25">
      <c r="A65" s="3">
        <v>59</v>
      </c>
      <c r="B65" s="3">
        <f t="shared" si="2"/>
        <v>0</v>
      </c>
      <c r="C65" s="4">
        <f t="shared" si="4"/>
        <v>19.994276158366251</v>
      </c>
      <c r="D65" s="4">
        <f t="shared" si="5"/>
        <v>2.6659034877821672</v>
      </c>
      <c r="E65" s="4">
        <f t="shared" si="3"/>
        <v>133.29517438910835</v>
      </c>
    </row>
    <row r="66" spans="1:5" x14ac:dyDescent="0.25">
      <c r="A66" s="3">
        <v>60</v>
      </c>
      <c r="B66" s="3">
        <f t="shared" si="2"/>
        <v>500</v>
      </c>
      <c r="C66" s="4">
        <f t="shared" si="4"/>
        <v>16.595249211443988</v>
      </c>
      <c r="D66" s="4">
        <f t="shared" si="5"/>
        <v>2.2126998948591985</v>
      </c>
      <c r="E66" s="4">
        <f t="shared" si="3"/>
        <v>110.63499474295993</v>
      </c>
    </row>
    <row r="67" spans="1:5" x14ac:dyDescent="0.25">
      <c r="A67" s="3">
        <v>61</v>
      </c>
      <c r="B67" s="3">
        <f t="shared" si="2"/>
        <v>0</v>
      </c>
      <c r="C67" s="4">
        <f t="shared" si="4"/>
        <v>88.774056845498521</v>
      </c>
      <c r="D67" s="4">
        <f t="shared" si="5"/>
        <v>11.836540912733138</v>
      </c>
      <c r="E67" s="4">
        <f t="shared" si="3"/>
        <v>591.82704563665686</v>
      </c>
    </row>
    <row r="68" spans="1:5" x14ac:dyDescent="0.25">
      <c r="A68" s="3">
        <v>62</v>
      </c>
      <c r="B68" s="3">
        <f t="shared" si="2"/>
        <v>0</v>
      </c>
      <c r="C68" s="4">
        <f t="shared" si="4"/>
        <v>73.682467181763769</v>
      </c>
      <c r="D68" s="4">
        <f t="shared" si="5"/>
        <v>9.824328957568504</v>
      </c>
      <c r="E68" s="4">
        <f t="shared" si="3"/>
        <v>491.21644787842519</v>
      </c>
    </row>
    <row r="69" spans="1:5" x14ac:dyDescent="0.25">
      <c r="A69" s="3">
        <v>63</v>
      </c>
      <c r="B69" s="3">
        <f t="shared" si="2"/>
        <v>0</v>
      </c>
      <c r="C69" s="4">
        <f t="shared" si="4"/>
        <v>61.156447760863927</v>
      </c>
      <c r="D69" s="4">
        <f t="shared" si="5"/>
        <v>8.1541930347818568</v>
      </c>
      <c r="E69" s="4">
        <f t="shared" si="3"/>
        <v>407.70965173909286</v>
      </c>
    </row>
    <row r="70" spans="1:5" x14ac:dyDescent="0.25">
      <c r="A70" s="3">
        <v>64</v>
      </c>
      <c r="B70" s="3">
        <f t="shared" si="2"/>
        <v>0</v>
      </c>
      <c r="C70" s="4">
        <f t="shared" ref="C70:C101" si="6">+E70*$B$3</f>
        <v>50.759851641517052</v>
      </c>
      <c r="D70" s="4">
        <f t="shared" ref="D70:D101" si="7">+E70*$B$4</f>
        <v>6.7679802188689404</v>
      </c>
      <c r="E70" s="4">
        <f t="shared" si="3"/>
        <v>338.39901094344702</v>
      </c>
    </row>
    <row r="71" spans="1:5" x14ac:dyDescent="0.25">
      <c r="A71" s="3">
        <v>65</v>
      </c>
      <c r="B71" s="3">
        <f t="shared" ref="B71:B126" si="8">+IF(MOD(A71,10)=0,500,0)</f>
        <v>0</v>
      </c>
      <c r="C71" s="4">
        <f t="shared" si="6"/>
        <v>42.130676862459147</v>
      </c>
      <c r="D71" s="4">
        <f t="shared" si="7"/>
        <v>5.6174235816612201</v>
      </c>
      <c r="E71" s="4">
        <f t="shared" si="3"/>
        <v>280.87117908306101</v>
      </c>
    </row>
    <row r="72" spans="1:5" x14ac:dyDescent="0.25">
      <c r="A72" s="3">
        <v>66</v>
      </c>
      <c r="B72" s="3">
        <f t="shared" si="8"/>
        <v>0</v>
      </c>
      <c r="C72" s="4">
        <f t="shared" si="6"/>
        <v>34.968461795841094</v>
      </c>
      <c r="D72" s="4">
        <f t="shared" si="7"/>
        <v>4.6624615727788123</v>
      </c>
      <c r="E72" s="4">
        <f t="shared" ref="E72:E126" si="9">+E71+B71-C71-D71</f>
        <v>233.12307863894063</v>
      </c>
    </row>
    <row r="73" spans="1:5" x14ac:dyDescent="0.25">
      <c r="A73" s="3">
        <v>67</v>
      </c>
      <c r="B73" s="3">
        <f t="shared" si="8"/>
        <v>0</v>
      </c>
      <c r="C73" s="4">
        <f t="shared" si="6"/>
        <v>29.023823290548101</v>
      </c>
      <c r="D73" s="4">
        <f t="shared" si="7"/>
        <v>3.8698431054064142</v>
      </c>
      <c r="E73" s="4">
        <f t="shared" si="9"/>
        <v>193.49215527032069</v>
      </c>
    </row>
    <row r="74" spans="1:5" x14ac:dyDescent="0.25">
      <c r="A74" s="3">
        <v>68</v>
      </c>
      <c r="B74" s="3">
        <f t="shared" si="8"/>
        <v>0</v>
      </c>
      <c r="C74" s="4">
        <f t="shared" si="6"/>
        <v>24.089773331154927</v>
      </c>
      <c r="D74" s="4">
        <f t="shared" si="7"/>
        <v>3.2119697774873237</v>
      </c>
      <c r="E74" s="4">
        <f t="shared" si="9"/>
        <v>160.59848887436618</v>
      </c>
    </row>
    <row r="75" spans="1:5" x14ac:dyDescent="0.25">
      <c r="A75" s="3">
        <v>69</v>
      </c>
      <c r="B75" s="3">
        <f t="shared" si="8"/>
        <v>0</v>
      </c>
      <c r="C75" s="4">
        <f t="shared" si="6"/>
        <v>19.994511864858588</v>
      </c>
      <c r="D75" s="4">
        <f t="shared" si="7"/>
        <v>2.6659349153144785</v>
      </c>
      <c r="E75" s="4">
        <f t="shared" si="9"/>
        <v>133.29674576572393</v>
      </c>
    </row>
    <row r="76" spans="1:5" x14ac:dyDescent="0.25">
      <c r="A76" s="3">
        <v>70</v>
      </c>
      <c r="B76" s="3">
        <f t="shared" si="8"/>
        <v>500</v>
      </c>
      <c r="C76" s="4">
        <f t="shared" si="6"/>
        <v>16.595444847832628</v>
      </c>
      <c r="D76" s="4">
        <f t="shared" si="7"/>
        <v>2.212725979711017</v>
      </c>
      <c r="E76" s="4">
        <f t="shared" si="9"/>
        <v>110.63629898555085</v>
      </c>
    </row>
    <row r="77" spans="1:5" x14ac:dyDescent="0.25">
      <c r="A77" s="3">
        <v>71</v>
      </c>
      <c r="B77" s="3">
        <f t="shared" si="8"/>
        <v>0</v>
      </c>
      <c r="C77" s="4">
        <f t="shared" si="6"/>
        <v>88.774219223701095</v>
      </c>
      <c r="D77" s="4">
        <f t="shared" si="7"/>
        <v>11.836562563160147</v>
      </c>
      <c r="E77" s="4">
        <f t="shared" si="9"/>
        <v>591.8281281580073</v>
      </c>
    </row>
    <row r="78" spans="1:5" x14ac:dyDescent="0.25">
      <c r="A78" s="3">
        <v>72</v>
      </c>
      <c r="B78" s="3">
        <f t="shared" si="8"/>
        <v>0</v>
      </c>
      <c r="C78" s="4">
        <f t="shared" si="6"/>
        <v>73.682601955671899</v>
      </c>
      <c r="D78" s="4">
        <f t="shared" si="7"/>
        <v>9.8243469274229209</v>
      </c>
      <c r="E78" s="4">
        <f t="shared" si="9"/>
        <v>491.21734637114605</v>
      </c>
    </row>
    <row r="79" spans="1:5" x14ac:dyDescent="0.25">
      <c r="A79" s="3">
        <v>73</v>
      </c>
      <c r="B79" s="3">
        <f t="shared" si="8"/>
        <v>0</v>
      </c>
      <c r="C79" s="4">
        <f t="shared" si="6"/>
        <v>61.156559623207684</v>
      </c>
      <c r="D79" s="4">
        <f t="shared" si="7"/>
        <v>8.1542079497610249</v>
      </c>
      <c r="E79" s="4">
        <f t="shared" si="9"/>
        <v>407.71039748805123</v>
      </c>
    </row>
    <row r="80" spans="1:5" x14ac:dyDescent="0.25">
      <c r="A80" s="3">
        <v>74</v>
      </c>
      <c r="B80" s="3">
        <f t="shared" si="8"/>
        <v>0</v>
      </c>
      <c r="C80" s="4">
        <f t="shared" si="6"/>
        <v>50.759944487262381</v>
      </c>
      <c r="D80" s="4">
        <f t="shared" si="7"/>
        <v>6.7679925983016505</v>
      </c>
      <c r="E80" s="4">
        <f t="shared" si="9"/>
        <v>338.39962991508253</v>
      </c>
    </row>
    <row r="81" spans="1:5" x14ac:dyDescent="0.25">
      <c r="A81" s="3">
        <v>75</v>
      </c>
      <c r="B81" s="3">
        <f t="shared" si="8"/>
        <v>0</v>
      </c>
      <c r="C81" s="4">
        <f t="shared" si="6"/>
        <v>42.130753924427772</v>
      </c>
      <c r="D81" s="4">
        <f t="shared" si="7"/>
        <v>5.6174338565903703</v>
      </c>
      <c r="E81" s="4">
        <f t="shared" si="9"/>
        <v>280.87169282951851</v>
      </c>
    </row>
    <row r="82" spans="1:5" x14ac:dyDescent="0.25">
      <c r="A82" s="3">
        <v>76</v>
      </c>
      <c r="B82" s="3">
        <f t="shared" si="8"/>
        <v>0</v>
      </c>
      <c r="C82" s="4">
        <f t="shared" si="6"/>
        <v>34.968525757275053</v>
      </c>
      <c r="D82" s="4">
        <f t="shared" si="7"/>
        <v>4.6624701009700074</v>
      </c>
      <c r="E82" s="4">
        <f t="shared" si="9"/>
        <v>233.12350504850036</v>
      </c>
    </row>
    <row r="83" spans="1:5" x14ac:dyDescent="0.25">
      <c r="A83" s="3">
        <v>77</v>
      </c>
      <c r="B83" s="3">
        <f t="shared" si="8"/>
        <v>0</v>
      </c>
      <c r="C83" s="4">
        <f t="shared" si="6"/>
        <v>29.023876378538294</v>
      </c>
      <c r="D83" s="4">
        <f t="shared" si="7"/>
        <v>3.8698501838051063</v>
      </c>
      <c r="E83" s="4">
        <f t="shared" si="9"/>
        <v>193.4925091902553</v>
      </c>
    </row>
    <row r="84" spans="1:5" x14ac:dyDescent="0.25">
      <c r="A84" s="3">
        <v>78</v>
      </c>
      <c r="B84" s="3">
        <f t="shared" si="8"/>
        <v>0</v>
      </c>
      <c r="C84" s="4">
        <f t="shared" si="6"/>
        <v>24.089817394186785</v>
      </c>
      <c r="D84" s="4">
        <f t="shared" si="7"/>
        <v>3.2119756525582379</v>
      </c>
      <c r="E84" s="4">
        <f t="shared" si="9"/>
        <v>160.5987826279119</v>
      </c>
    </row>
    <row r="85" spans="1:5" x14ac:dyDescent="0.25">
      <c r="A85" s="3">
        <v>79</v>
      </c>
      <c r="B85" s="3">
        <f t="shared" si="8"/>
        <v>0</v>
      </c>
      <c r="C85" s="4">
        <f t="shared" si="6"/>
        <v>19.99454843717503</v>
      </c>
      <c r="D85" s="4">
        <f t="shared" si="7"/>
        <v>2.6659397916233378</v>
      </c>
      <c r="E85" s="4">
        <f t="shared" si="9"/>
        <v>133.29698958116688</v>
      </c>
    </row>
    <row r="86" spans="1:5" x14ac:dyDescent="0.25">
      <c r="A86" s="3">
        <v>80</v>
      </c>
      <c r="B86" s="3">
        <f t="shared" si="8"/>
        <v>500</v>
      </c>
      <c r="C86" s="4">
        <f t="shared" si="6"/>
        <v>16.595475202855276</v>
      </c>
      <c r="D86" s="4">
        <f t="shared" si="7"/>
        <v>2.2127300270473702</v>
      </c>
      <c r="E86" s="4">
        <f t="shared" si="9"/>
        <v>110.63650135236851</v>
      </c>
    </row>
    <row r="87" spans="1:5" x14ac:dyDescent="0.25">
      <c r="A87" s="3">
        <v>81</v>
      </c>
      <c r="B87" s="3">
        <f t="shared" si="8"/>
        <v>0</v>
      </c>
      <c r="C87" s="4">
        <f t="shared" si="6"/>
        <v>88.774244418369889</v>
      </c>
      <c r="D87" s="4">
        <f t="shared" si="7"/>
        <v>11.836565922449321</v>
      </c>
      <c r="E87" s="4">
        <f t="shared" si="9"/>
        <v>591.82829612246599</v>
      </c>
    </row>
    <row r="88" spans="1:5" x14ac:dyDescent="0.25">
      <c r="A88" s="3">
        <v>82</v>
      </c>
      <c r="B88" s="3">
        <f t="shared" si="8"/>
        <v>0</v>
      </c>
      <c r="C88" s="4">
        <f t="shared" si="6"/>
        <v>73.682622867247005</v>
      </c>
      <c r="D88" s="4">
        <f t="shared" si="7"/>
        <v>9.8243497156329358</v>
      </c>
      <c r="E88" s="4">
        <f t="shared" si="9"/>
        <v>491.21748578164676</v>
      </c>
    </row>
    <row r="89" spans="1:5" x14ac:dyDescent="0.25">
      <c r="A89" s="3">
        <v>83</v>
      </c>
      <c r="B89" s="3">
        <f t="shared" si="8"/>
        <v>0</v>
      </c>
      <c r="C89" s="4">
        <f t="shared" si="6"/>
        <v>61.156576979815021</v>
      </c>
      <c r="D89" s="4">
        <f t="shared" si="7"/>
        <v>8.1542102639753367</v>
      </c>
      <c r="E89" s="4">
        <f t="shared" si="9"/>
        <v>407.71051319876682</v>
      </c>
    </row>
    <row r="90" spans="1:5" x14ac:dyDescent="0.25">
      <c r="A90" s="3">
        <v>84</v>
      </c>
      <c r="B90" s="3">
        <f t="shared" si="8"/>
        <v>0</v>
      </c>
      <c r="C90" s="4">
        <f t="shared" si="6"/>
        <v>50.759958893246463</v>
      </c>
      <c r="D90" s="4">
        <f t="shared" si="7"/>
        <v>6.7679945190995285</v>
      </c>
      <c r="E90" s="4">
        <f t="shared" si="9"/>
        <v>338.39972595497642</v>
      </c>
    </row>
    <row r="91" spans="1:5" x14ac:dyDescent="0.25">
      <c r="A91" s="3">
        <v>85</v>
      </c>
      <c r="B91" s="3">
        <f t="shared" si="8"/>
        <v>0</v>
      </c>
      <c r="C91" s="4">
        <f t="shared" si="6"/>
        <v>42.130765881394559</v>
      </c>
      <c r="D91" s="4">
        <f t="shared" si="7"/>
        <v>5.617435450852609</v>
      </c>
      <c r="E91" s="4">
        <f t="shared" si="9"/>
        <v>280.87177254263042</v>
      </c>
    </row>
    <row r="92" spans="1:5" x14ac:dyDescent="0.25">
      <c r="A92" s="3">
        <v>86</v>
      </c>
      <c r="B92" s="3">
        <f t="shared" si="8"/>
        <v>0</v>
      </c>
      <c r="C92" s="4">
        <f t="shared" si="6"/>
        <v>34.968535681557491</v>
      </c>
      <c r="D92" s="4">
        <f t="shared" si="7"/>
        <v>4.6624714242076655</v>
      </c>
      <c r="E92" s="4">
        <f t="shared" si="9"/>
        <v>233.12357121038326</v>
      </c>
    </row>
    <row r="93" spans="1:5" x14ac:dyDescent="0.25">
      <c r="A93" s="3">
        <v>87</v>
      </c>
      <c r="B93" s="3">
        <f t="shared" si="8"/>
        <v>0</v>
      </c>
      <c r="C93" s="4">
        <f t="shared" si="6"/>
        <v>29.023884615692715</v>
      </c>
      <c r="D93" s="4">
        <f t="shared" si="7"/>
        <v>3.8698512820923625</v>
      </c>
      <c r="E93" s="4">
        <f t="shared" si="9"/>
        <v>193.49256410461811</v>
      </c>
    </row>
    <row r="94" spans="1:5" x14ac:dyDescent="0.25">
      <c r="A94" s="3">
        <v>88</v>
      </c>
      <c r="B94" s="3">
        <f t="shared" si="8"/>
        <v>0</v>
      </c>
      <c r="C94" s="4">
        <f t="shared" si="6"/>
        <v>24.089824231024956</v>
      </c>
      <c r="D94" s="4">
        <f t="shared" si="7"/>
        <v>3.2119765641366609</v>
      </c>
      <c r="E94" s="4">
        <f t="shared" si="9"/>
        <v>160.59882820683305</v>
      </c>
    </row>
    <row r="95" spans="1:5" x14ac:dyDescent="0.25">
      <c r="A95" s="3">
        <v>89</v>
      </c>
      <c r="B95" s="3">
        <f t="shared" si="8"/>
        <v>0</v>
      </c>
      <c r="C95" s="4">
        <f t="shared" si="6"/>
        <v>19.994554111750716</v>
      </c>
      <c r="D95" s="4">
        <f t="shared" si="7"/>
        <v>2.6659405482334289</v>
      </c>
      <c r="E95" s="4">
        <f t="shared" si="9"/>
        <v>133.29702741167145</v>
      </c>
    </row>
    <row r="96" spans="1:5" x14ac:dyDescent="0.25">
      <c r="A96" s="3">
        <v>90</v>
      </c>
      <c r="B96" s="3">
        <f t="shared" si="8"/>
        <v>500</v>
      </c>
      <c r="C96" s="4">
        <f t="shared" si="6"/>
        <v>16.595479912753095</v>
      </c>
      <c r="D96" s="4">
        <f t="shared" si="7"/>
        <v>2.2127306550337464</v>
      </c>
      <c r="E96" s="4">
        <f t="shared" si="9"/>
        <v>110.63653275168731</v>
      </c>
    </row>
    <row r="97" spans="1:5" x14ac:dyDescent="0.25">
      <c r="A97" s="3">
        <v>91</v>
      </c>
      <c r="B97" s="3">
        <f t="shared" si="8"/>
        <v>0</v>
      </c>
      <c r="C97" s="4">
        <f t="shared" si="6"/>
        <v>88.77424832758507</v>
      </c>
      <c r="D97" s="4">
        <f t="shared" si="7"/>
        <v>11.836566443678009</v>
      </c>
      <c r="E97" s="4">
        <f t="shared" si="9"/>
        <v>591.82832218390047</v>
      </c>
    </row>
    <row r="98" spans="1:5" x14ac:dyDescent="0.25">
      <c r="A98" s="3">
        <v>92</v>
      </c>
      <c r="B98" s="3">
        <f t="shared" si="8"/>
        <v>0</v>
      </c>
      <c r="C98" s="4">
        <f t="shared" si="6"/>
        <v>73.682626111895615</v>
      </c>
      <c r="D98" s="4">
        <f t="shared" si="7"/>
        <v>9.8243501482527478</v>
      </c>
      <c r="E98" s="4">
        <f t="shared" si="9"/>
        <v>491.21750741263742</v>
      </c>
    </row>
    <row r="99" spans="1:5" x14ac:dyDescent="0.25">
      <c r="A99" s="3">
        <v>93</v>
      </c>
      <c r="B99" s="3">
        <f t="shared" si="8"/>
        <v>0</v>
      </c>
      <c r="C99" s="4">
        <f t="shared" si="6"/>
        <v>61.156579672873356</v>
      </c>
      <c r="D99" s="4">
        <f t="shared" si="7"/>
        <v>8.1542106230497815</v>
      </c>
      <c r="E99" s="4">
        <f t="shared" si="9"/>
        <v>407.71053115248907</v>
      </c>
    </row>
    <row r="100" spans="1:5" x14ac:dyDescent="0.25">
      <c r="A100" s="3">
        <v>94</v>
      </c>
      <c r="B100" s="3">
        <f t="shared" si="8"/>
        <v>0</v>
      </c>
      <c r="C100" s="4">
        <f t="shared" si="6"/>
        <v>50.759961128484889</v>
      </c>
      <c r="D100" s="4">
        <f t="shared" si="7"/>
        <v>6.7679948171313189</v>
      </c>
      <c r="E100" s="4">
        <f t="shared" si="9"/>
        <v>338.39974085656593</v>
      </c>
    </row>
    <row r="101" spans="1:5" x14ac:dyDescent="0.25">
      <c r="A101" s="3">
        <v>95</v>
      </c>
      <c r="B101" s="3">
        <f t="shared" si="8"/>
        <v>0</v>
      </c>
      <c r="C101" s="4">
        <f t="shared" si="6"/>
        <v>42.130767736642461</v>
      </c>
      <c r="D101" s="4">
        <f t="shared" si="7"/>
        <v>5.6174356982189959</v>
      </c>
      <c r="E101" s="4">
        <f t="shared" si="9"/>
        <v>280.87178491094977</v>
      </c>
    </row>
    <row r="102" spans="1:5" x14ac:dyDescent="0.25">
      <c r="A102" s="3">
        <v>96</v>
      </c>
      <c r="B102" s="3">
        <f t="shared" si="8"/>
        <v>0</v>
      </c>
      <c r="C102" s="4">
        <f t="shared" ref="C102:C126" si="10">+E102*$B$3</f>
        <v>34.968537221413243</v>
      </c>
      <c r="D102" s="4">
        <f t="shared" ref="D102:D126" si="11">+E102*$B$4</f>
        <v>4.6624716295217663</v>
      </c>
      <c r="E102" s="4">
        <f t="shared" si="9"/>
        <v>233.1235814760883</v>
      </c>
    </row>
    <row r="103" spans="1:5" x14ac:dyDescent="0.25">
      <c r="A103" s="3">
        <v>97</v>
      </c>
      <c r="B103" s="3">
        <f t="shared" si="8"/>
        <v>0</v>
      </c>
      <c r="C103" s="4">
        <f t="shared" si="10"/>
        <v>29.023885893772992</v>
      </c>
      <c r="D103" s="4">
        <f t="shared" si="11"/>
        <v>3.8698514525030658</v>
      </c>
      <c r="E103" s="4">
        <f t="shared" si="9"/>
        <v>193.49257262515329</v>
      </c>
    </row>
    <row r="104" spans="1:5" x14ac:dyDescent="0.25">
      <c r="A104" s="3">
        <v>98</v>
      </c>
      <c r="B104" s="3">
        <f t="shared" si="8"/>
        <v>0</v>
      </c>
      <c r="C104" s="4">
        <f t="shared" si="10"/>
        <v>24.089825291831584</v>
      </c>
      <c r="D104" s="4">
        <f t="shared" si="11"/>
        <v>3.2119767055775448</v>
      </c>
      <c r="E104" s="4">
        <f t="shared" si="9"/>
        <v>160.59883527887723</v>
      </c>
    </row>
    <row r="105" spans="1:5" x14ac:dyDescent="0.25">
      <c r="A105" s="3">
        <v>99</v>
      </c>
      <c r="B105" s="3">
        <f t="shared" si="8"/>
        <v>0</v>
      </c>
      <c r="C105" s="4">
        <f t="shared" si="10"/>
        <v>19.994554992220216</v>
      </c>
      <c r="D105" s="4">
        <f t="shared" si="11"/>
        <v>2.6659406656293623</v>
      </c>
      <c r="E105" s="4">
        <f t="shared" si="9"/>
        <v>133.29703328146812</v>
      </c>
    </row>
    <row r="106" spans="1:5" x14ac:dyDescent="0.25">
      <c r="A106" s="3">
        <v>100</v>
      </c>
      <c r="B106" s="3">
        <f t="shared" si="8"/>
        <v>500</v>
      </c>
      <c r="C106" s="4">
        <f t="shared" si="10"/>
        <v>16.595480643542778</v>
      </c>
      <c r="D106" s="4">
        <f t="shared" si="11"/>
        <v>2.2127307524723707</v>
      </c>
      <c r="E106" s="4">
        <f t="shared" si="9"/>
        <v>110.63653762361854</v>
      </c>
    </row>
    <row r="107" spans="1:5" x14ac:dyDescent="0.25">
      <c r="A107" s="3">
        <v>101</v>
      </c>
      <c r="B107" s="3">
        <f t="shared" si="8"/>
        <v>0</v>
      </c>
      <c r="C107" s="4">
        <f t="shared" si="10"/>
        <v>88.774248934140502</v>
      </c>
      <c r="D107" s="4">
        <f t="shared" si="11"/>
        <v>11.836566524552067</v>
      </c>
      <c r="E107" s="4">
        <f t="shared" si="9"/>
        <v>591.82832622760338</v>
      </c>
    </row>
    <row r="108" spans="1:5" x14ac:dyDescent="0.25">
      <c r="A108" s="3">
        <v>102</v>
      </c>
      <c r="B108" s="3">
        <f t="shared" si="8"/>
        <v>0</v>
      </c>
      <c r="C108" s="4">
        <f t="shared" si="10"/>
        <v>73.68262661533663</v>
      </c>
      <c r="D108" s="4">
        <f t="shared" si="11"/>
        <v>9.8243502153782174</v>
      </c>
      <c r="E108" s="4">
        <f t="shared" si="9"/>
        <v>491.21751076891087</v>
      </c>
    </row>
    <row r="109" spans="1:5" x14ac:dyDescent="0.25">
      <c r="A109" s="3">
        <v>103</v>
      </c>
      <c r="B109" s="3">
        <f t="shared" si="8"/>
        <v>0</v>
      </c>
      <c r="C109" s="4">
        <f t="shared" si="10"/>
        <v>61.156580090729399</v>
      </c>
      <c r="D109" s="4">
        <f t="shared" si="11"/>
        <v>8.1542106787639206</v>
      </c>
      <c r="E109" s="4">
        <f t="shared" si="9"/>
        <v>407.71053393819602</v>
      </c>
    </row>
    <row r="110" spans="1:5" x14ac:dyDescent="0.25">
      <c r="A110" s="3">
        <v>104</v>
      </c>
      <c r="B110" s="3">
        <f t="shared" si="8"/>
        <v>0</v>
      </c>
      <c r="C110" s="4">
        <f t="shared" si="10"/>
        <v>50.759961475305403</v>
      </c>
      <c r="D110" s="4">
        <f t="shared" si="11"/>
        <v>6.7679948633740539</v>
      </c>
      <c r="E110" s="4">
        <f t="shared" si="9"/>
        <v>338.39974316870268</v>
      </c>
    </row>
    <row r="111" spans="1:5" x14ac:dyDescent="0.25">
      <c r="A111" s="3">
        <v>105</v>
      </c>
      <c r="B111" s="3">
        <f t="shared" si="8"/>
        <v>0</v>
      </c>
      <c r="C111" s="4">
        <f t="shared" si="10"/>
        <v>42.130768024503482</v>
      </c>
      <c r="D111" s="4">
        <f t="shared" si="11"/>
        <v>5.6174357366004646</v>
      </c>
      <c r="E111" s="4">
        <f t="shared" si="9"/>
        <v>280.87178683002321</v>
      </c>
    </row>
    <row r="112" spans="1:5" x14ac:dyDescent="0.25">
      <c r="A112" s="3">
        <v>106</v>
      </c>
      <c r="B112" s="3">
        <f t="shared" si="8"/>
        <v>0</v>
      </c>
      <c r="C112" s="4">
        <f t="shared" si="10"/>
        <v>34.968537460337885</v>
      </c>
      <c r="D112" s="4">
        <f t="shared" si="11"/>
        <v>4.662471661378385</v>
      </c>
      <c r="E112" s="4">
        <f t="shared" si="9"/>
        <v>233.12358306891926</v>
      </c>
    </row>
    <row r="113" spans="1:5" x14ac:dyDescent="0.25">
      <c r="A113" s="3">
        <v>107</v>
      </c>
      <c r="B113" s="3">
        <f t="shared" si="8"/>
        <v>0</v>
      </c>
      <c r="C113" s="4">
        <f t="shared" si="10"/>
        <v>29.023886092080446</v>
      </c>
      <c r="D113" s="4">
        <f t="shared" si="11"/>
        <v>3.8698514789440597</v>
      </c>
      <c r="E113" s="4">
        <f t="shared" si="9"/>
        <v>193.49257394720297</v>
      </c>
    </row>
    <row r="114" spans="1:5" x14ac:dyDescent="0.25">
      <c r="A114" s="3">
        <v>108</v>
      </c>
      <c r="B114" s="3">
        <f t="shared" si="8"/>
        <v>0</v>
      </c>
      <c r="C114" s="4">
        <f t="shared" si="10"/>
        <v>24.08982545642677</v>
      </c>
      <c r="D114" s="4">
        <f t="shared" si="11"/>
        <v>3.2119767275235693</v>
      </c>
      <c r="E114" s="4">
        <f t="shared" si="9"/>
        <v>160.59883637617847</v>
      </c>
    </row>
    <row r="115" spans="1:5" x14ac:dyDescent="0.25">
      <c r="A115" s="3">
        <v>109</v>
      </c>
      <c r="B115" s="3">
        <f t="shared" si="8"/>
        <v>0</v>
      </c>
      <c r="C115" s="4">
        <f t="shared" si="10"/>
        <v>19.994555128834218</v>
      </c>
      <c r="D115" s="4">
        <f t="shared" si="11"/>
        <v>2.6659406838445627</v>
      </c>
      <c r="E115" s="4">
        <f t="shared" si="9"/>
        <v>133.29703419222812</v>
      </c>
    </row>
    <row r="116" spans="1:5" x14ac:dyDescent="0.25">
      <c r="A116" s="3">
        <v>110</v>
      </c>
      <c r="B116" s="3">
        <f t="shared" si="8"/>
        <v>500</v>
      </c>
      <c r="C116" s="4">
        <f t="shared" si="10"/>
        <v>16.5954807569324</v>
      </c>
      <c r="D116" s="4">
        <f t="shared" si="11"/>
        <v>2.2127307675909869</v>
      </c>
      <c r="E116" s="4">
        <f t="shared" si="9"/>
        <v>110.63653837954934</v>
      </c>
    </row>
    <row r="117" spans="1:5" x14ac:dyDescent="0.25">
      <c r="A117" s="3">
        <v>111</v>
      </c>
      <c r="B117" s="3">
        <f t="shared" si="8"/>
        <v>0</v>
      </c>
      <c r="C117" s="4">
        <f t="shared" si="10"/>
        <v>88.774249028253905</v>
      </c>
      <c r="D117" s="4">
        <f t="shared" si="11"/>
        <v>11.836566537100522</v>
      </c>
      <c r="E117" s="4">
        <f t="shared" si="9"/>
        <v>591.82832685502603</v>
      </c>
    </row>
    <row r="118" spans="1:5" x14ac:dyDescent="0.25">
      <c r="A118" s="3">
        <v>112</v>
      </c>
      <c r="B118" s="3">
        <f t="shared" si="8"/>
        <v>0</v>
      </c>
      <c r="C118" s="4">
        <f t="shared" si="10"/>
        <v>73.682626693450743</v>
      </c>
      <c r="D118" s="4">
        <f t="shared" si="11"/>
        <v>9.8243502257934328</v>
      </c>
      <c r="E118" s="4">
        <f t="shared" si="9"/>
        <v>491.21751128967162</v>
      </c>
    </row>
    <row r="119" spans="1:5" x14ac:dyDescent="0.25">
      <c r="A119" s="3">
        <v>113</v>
      </c>
      <c r="B119" s="3">
        <f t="shared" si="8"/>
        <v>0</v>
      </c>
      <c r="C119" s="4">
        <f t="shared" si="10"/>
        <v>61.156580155564114</v>
      </c>
      <c r="D119" s="4">
        <f t="shared" si="11"/>
        <v>8.1542106874085487</v>
      </c>
      <c r="E119" s="4">
        <f t="shared" si="9"/>
        <v>407.71053437042747</v>
      </c>
    </row>
    <row r="120" spans="1:5" x14ac:dyDescent="0.25">
      <c r="A120" s="3">
        <v>114</v>
      </c>
      <c r="B120" s="3">
        <f t="shared" si="8"/>
        <v>0</v>
      </c>
      <c r="C120" s="4">
        <f t="shared" si="10"/>
        <v>50.759961529118222</v>
      </c>
      <c r="D120" s="4">
        <f t="shared" si="11"/>
        <v>6.7679948705490958</v>
      </c>
      <c r="E120" s="4">
        <f t="shared" si="9"/>
        <v>338.3997435274548</v>
      </c>
    </row>
    <row r="121" spans="1:5" x14ac:dyDescent="0.25">
      <c r="A121" s="3">
        <v>115</v>
      </c>
      <c r="B121" s="3">
        <f t="shared" si="8"/>
        <v>0</v>
      </c>
      <c r="C121" s="4">
        <f t="shared" si="10"/>
        <v>42.13076806916812</v>
      </c>
      <c r="D121" s="4">
        <f t="shared" si="11"/>
        <v>5.6174357425557488</v>
      </c>
      <c r="E121" s="4">
        <f t="shared" si="9"/>
        <v>280.87178712778746</v>
      </c>
    </row>
    <row r="122" spans="1:5" x14ac:dyDescent="0.25">
      <c r="A122" s="3">
        <v>116</v>
      </c>
      <c r="B122" s="3">
        <f t="shared" si="8"/>
        <v>0</v>
      </c>
      <c r="C122" s="4">
        <f t="shared" si="10"/>
        <v>34.968537497409535</v>
      </c>
      <c r="D122" s="4">
        <f t="shared" si="11"/>
        <v>4.662471666321272</v>
      </c>
      <c r="E122" s="4">
        <f t="shared" si="9"/>
        <v>233.12358331606359</v>
      </c>
    </row>
    <row r="123" spans="1:5" x14ac:dyDescent="0.25">
      <c r="A123" s="3">
        <v>117</v>
      </c>
      <c r="B123" s="3">
        <f t="shared" si="8"/>
        <v>0</v>
      </c>
      <c r="C123" s="4">
        <f t="shared" si="10"/>
        <v>29.023886122849916</v>
      </c>
      <c r="D123" s="4">
        <f t="shared" si="11"/>
        <v>3.8698514830466562</v>
      </c>
      <c r="E123" s="4">
        <f t="shared" si="9"/>
        <v>193.49257415233279</v>
      </c>
    </row>
    <row r="124" spans="1:5" x14ac:dyDescent="0.25">
      <c r="A124" s="3">
        <v>118</v>
      </c>
      <c r="B124" s="3">
        <f t="shared" si="8"/>
        <v>0</v>
      </c>
      <c r="C124" s="4">
        <f t="shared" si="10"/>
        <v>24.08982548196543</v>
      </c>
      <c r="D124" s="4">
        <f t="shared" si="11"/>
        <v>3.2119767309287246</v>
      </c>
      <c r="E124" s="4">
        <f t="shared" si="9"/>
        <v>160.59883654643622</v>
      </c>
    </row>
    <row r="125" spans="1:5" x14ac:dyDescent="0.25">
      <c r="A125" s="3">
        <v>119</v>
      </c>
      <c r="B125" s="3">
        <f t="shared" si="8"/>
        <v>0</v>
      </c>
      <c r="C125" s="4">
        <f t="shared" si="10"/>
        <v>19.994555150031314</v>
      </c>
      <c r="D125" s="4">
        <f t="shared" si="11"/>
        <v>2.6659406866708419</v>
      </c>
      <c r="E125" s="4">
        <f t="shared" si="9"/>
        <v>133.29703433354209</v>
      </c>
    </row>
    <row r="126" spans="1:5" x14ac:dyDescent="0.25">
      <c r="A126" s="3">
        <v>120</v>
      </c>
      <c r="B126" s="3">
        <f t="shared" si="8"/>
        <v>500</v>
      </c>
      <c r="C126" s="4">
        <f t="shared" si="10"/>
        <v>16.595480774525988</v>
      </c>
      <c r="D126" s="4">
        <f t="shared" si="11"/>
        <v>2.2127307699367988</v>
      </c>
      <c r="E126" s="4">
        <f t="shared" si="9"/>
        <v>110.63653849683993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2025-04-17T23:20:32Z</dcterms:created>
  <dcterms:modified xsi:type="dcterms:W3CDTF">2026-03-24T20:51:12Z</dcterms:modified>
</cp:coreProperties>
</file>